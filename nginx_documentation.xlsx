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omain Map" sheetId="2" state="visible" r:id="rId4"/>
    <sheet name="Port Summary" sheetId="3" state="visible" r:id="rId5"/>
    <sheet name="Backends" sheetId="4" state="visible" r:id="rId6"/>
    <sheet name="Config Files" sheetId="5" state="visible" r:id="rId7"/>
    <sheet name="Issues &amp; Checks" sheetId="6" state="visible" r:id="rId8"/>
  </sheets>
  <definedNames>
    <definedName function="false" hidden="true" localSheetId="3" name="_xlnm._FilterDatabase" vbProcedure="false">Backends!$A$1:$E$35</definedName>
    <definedName function="false" hidden="true" localSheetId="4" name="_xlnm._FilterDatabase" vbProcedure="false">'Config Files'!$A$1:$C$49</definedName>
    <definedName function="false" hidden="true" localSheetId="1" name="_xlnm._FilterDatabase" vbProcedure="false">'Domain Map'!$A$1:$K$107</definedName>
    <definedName function="false" hidden="true" localSheetId="5" name="_xlnm._FilterDatabase" vbProcedure="false">'Issues &amp; Checks'!$A$1:$E$13</definedName>
    <definedName function="false" hidden="true" localSheetId="2" name="_xlnm._FilterDatabase" vbProcedure="false">'Port Summary'!$A$1:$F$20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<sst xmlns="http://schemas.openxmlformats.org/spreadsheetml/2006/main" count="1181" uniqueCount="407">
  <si>
    <t xml:space="preserve">Nginx Server Documentation - leadowserver</t>
  </si>
  <si>
    <t xml:space="preserve">Source: sudo nginx -T on 2026-10-01 (active config only; commented-out lines and backup files are excluded)</t>
  </si>
  <si>
    <t xml:space="preserve">Summary</t>
  </si>
  <si>
    <t xml:space="preserve">Total routes documented</t>
  </si>
  <si>
    <t xml:space="preserve">Unique domain entries</t>
  </si>
  <si>
    <t xml:space="preserve">Proxy routes</t>
  </si>
  <si>
    <t xml:space="preserve">Static-site routes</t>
  </si>
  <si>
    <t xml:space="preserve">Redirect / return routes</t>
  </si>
  <si>
    <t xml:space="preserve">Listening HTTP ports</t>
  </si>
  <si>
    <t xml:space="preserve">Listening TCP stream ports</t>
  </si>
  <si>
    <t xml:space="preserve">Open issues to review</t>
  </si>
  <si>
    <t xml:space="preserve">Sheets</t>
  </si>
  <si>
    <t xml:space="preserve">Domain Map</t>
  </si>
  <si>
    <t xml:space="preserve">Main table: every domain, port, path and where it goes. Use the filter arrows to search by domain, port or backend.</t>
  </si>
  <si>
    <t xml:space="preserve">Port Summary</t>
  </si>
  <si>
    <t xml:space="preserve">Every port nginx listens on and which domains use it.</t>
  </si>
  <si>
    <t xml:space="preserve">Backends</t>
  </si>
  <si>
    <t xml:space="preserve">Every backend IP:port nginx forwards to and which domains use it.</t>
  </si>
  <si>
    <t xml:space="preserve">Config Files</t>
  </si>
  <si>
    <t xml:space="preserve">Which file in /etc/nginx/conf.d holds what; backup files that are not loaded.</t>
  </si>
  <si>
    <t xml:space="preserve">Issues &amp; Checks</t>
  </si>
  <si>
    <t xml:space="preserve">Possible conflicts and things to verify, with the command to run.</t>
  </si>
  <si>
    <t xml:space="preserve">Action colours (Domain Map)</t>
  </si>
  <si>
    <t xml:space="preserve">Proxy</t>
  </si>
  <si>
    <t xml:space="preserve">Forwarded to a backend app</t>
  </si>
  <si>
    <t xml:space="preserve">Static</t>
  </si>
  <si>
    <t xml:space="preserve">Files served directly by nginx</t>
  </si>
  <si>
    <t xml:space="preserve">Redirect</t>
  </si>
  <si>
    <t xml:space="preserve">HTTP redirect (301/302)</t>
  </si>
  <si>
    <t xml:space="preserve">Status</t>
  </si>
  <si>
    <t xml:space="preserve">nginx monitoring page</t>
  </si>
  <si>
    <t xml:space="preserve">Note: values marked '(not captured)' were not in the output you sent. See 'Issues &amp; Checks' for the command to fill them in.</t>
  </si>
  <si>
    <t xml:space="preserve">#</t>
  </si>
  <si>
    <t xml:space="preserve">Domain</t>
  </si>
  <si>
    <t xml:space="preserve">Port</t>
  </si>
  <si>
    <t xml:space="preserve">Protocol</t>
  </si>
  <si>
    <t xml:space="preserve">Path</t>
  </si>
  <si>
    <t xml:space="preserve">Action</t>
  </si>
  <si>
    <t xml:space="preserve">Target / Backend</t>
  </si>
  <si>
    <t xml:space="preserve">Backend Host</t>
  </si>
  <si>
    <t xml:space="preserve">Backend Port</t>
  </si>
  <si>
    <t xml:space="preserve">Config File (/etc/nginx/conf.d/)</t>
  </si>
  <si>
    <t xml:space="preserve">Notes</t>
  </si>
  <si>
    <t xml:space="preserve">abg.leadows.com</t>
  </si>
  <si>
    <t xml:space="preserve">HTTPS</t>
  </si>
  <si>
    <t xml:space="preserve">/</t>
  </si>
  <si>
    <t xml:space="preserve">http://10.0.0.100:8090</t>
  </si>
  <si>
    <t xml:space="preserve">10.0.0.100</t>
  </si>
  <si>
    <t xml:space="preserve">abg.leadows.conf</t>
  </si>
  <si>
    <t xml:space="preserve">HTTP</t>
  </si>
  <si>
    <t xml:space="preserve">301 -&gt; https://abg.leadows.com</t>
  </si>
  <si>
    <t xml:space="preserve">akhbar.mahdibagh.net</t>
  </si>
  <si>
    <t xml:space="preserve">upstream: publisher</t>
  </si>
  <si>
    <t xml:space="preserve">akhbar.mahdibagh.net.conf</t>
  </si>
  <si>
    <t xml:space="preserve">Upstream address not captured</t>
  </si>
  <si>
    <t xml:space="preserve">301 -&gt; HTTPS (otherwise 404)</t>
  </si>
  <si>
    <t xml:space="preserve">app.schoolsecurity.uz</t>
  </si>
  <si>
    <t xml:space="preserve">root /usr/share/nginx/html/webapp.schoolsecurity.uz</t>
  </si>
  <si>
    <t xml:space="preserve">app.schoolsecurity.uz.conf</t>
  </si>
  <si>
    <t xml:space="preserve">Plain HTTP (SSL block commented out)</t>
  </si>
  <si>
    <t xml:space="preserve">ban.leadows.com (server_name _)</t>
  </si>
  <si>
    <t xml:space="preserve">/api/</t>
  </si>
  <si>
    <t xml:space="preserve">http://127.0.0.1:4100</t>
  </si>
  <si>
    <t xml:space="preserve">localhost</t>
  </si>
  <si>
    <t xml:space="preserve">ban.leadows.com.conf</t>
  </si>
  <si>
    <t xml:space="preserve">Catch-all server_name _ ; plain HTTP (SSL commented out); also listens on IPv6</t>
  </si>
  <si>
    <t xml:space="preserve">/files/</t>
  </si>
  <si>
    <t xml:space="preserve">http://127.0.0.1:4100/api/files/</t>
  </si>
  <si>
    <t xml:space="preserve">Legacy image URLs (pre S3 API)</t>
  </si>
  <si>
    <t xml:space="preserve">/assets/</t>
  </si>
  <si>
    <t xml:space="preserve">root .../ban-web-app/apps/web/dist (cache 1y)</t>
  </si>
  <si>
    <t xml:space="preserve">/sw.js</t>
  </si>
  <si>
    <t xml:space="preserve">root .../ban-web-app/apps/web/dist (no-cache)</t>
  </si>
  <si>
    <t xml:space="preserve">/manifest.webmanifest</t>
  </si>
  <si>
    <t xml:space="preserve">root /dataDrive/BusinessAllianceNetwork/ban-web-app/apps/web/dist (SPA)</t>
  </si>
  <si>
    <t xml:space="preserve">client_max_body_size 6m</t>
  </si>
  <si>
    <t xml:space="preserve">books.leadows.com</t>
  </si>
  <si>
    <t xml:space="preserve">/live/project/</t>
  </si>
  <si>
    <t xml:space="preserve">(target not captured)</t>
  </si>
  <si>
    <t xml:space="preserve">books.leadows.conf</t>
  </si>
  <si>
    <t xml:space="preserve">Check conf for target</t>
  </si>
  <si>
    <t xml:space="preserve">http://127.0.0.1:3001</t>
  </si>
  <si>
    <t xml:space="preserve">http://127.0.0.1:6875</t>
  </si>
  <si>
    <t xml:space="preserve">bugs.leadows.com</t>
  </si>
  <si>
    <t xml:space="preserve">http://10.0.0.100:8082/</t>
  </si>
  <si>
    <t xml:space="preserve">bugs.leadows.com.conf</t>
  </si>
  <si>
    <t xml:space="preserve">Bugzilla; max upload 20M</t>
  </si>
  <si>
    <t xml:space="preserve">demoshop.leadows.com</t>
  </si>
  <si>
    <t xml:space="preserve">http://localhost:8555</t>
  </si>
  <si>
    <t xml:space="preserve">demoshop.leadows.com.conf</t>
  </si>
  <si>
    <t xml:space="preserve">Rate limit zone php_limit (burst 25); max upload 500M; WebSocket upgrade</t>
  </si>
  <si>
    <t xml:space="preserve">/phpmyadmin/</t>
  </si>
  <si>
    <t xml:space="preserve">http://127.0.0.1:8556/</t>
  </si>
  <si>
    <t xml:space="preserve">phpMyAdmin</t>
  </si>
  <si>
    <t xml:space="preserve">Blocks query strings like ?a=123 with 403</t>
  </si>
  <si>
    <t xml:space="preserve">docs.mahdibagh.org</t>
  </si>
  <si>
    <t xml:space="preserve">http://192.168.1.222:82/</t>
  </si>
  <si>
    <t xml:space="preserve">192.168.1.222</t>
  </si>
  <si>
    <t xml:space="preserve">docs.mahdibagh.org.conf</t>
  </si>
  <si>
    <t xml:space="preserve">Max upload 500M</t>
  </si>
  <si>
    <t xml:space="preserve">/ns</t>
  </si>
  <si>
    <t xml:space="preserve">Return</t>
  </si>
  <si>
    <t xml:space="preserve">301 -&gt; /</t>
  </si>
  <si>
    <t xml:space="preserve">doks.leadows.com</t>
  </si>
  <si>
    <t xml:space="preserve">301 -&gt; HTTPS</t>
  </si>
  <si>
    <t xml:space="preserve">doks.leadows.com.conf</t>
  </si>
  <si>
    <t xml:space="preserve">http://192.168.1.221:8180</t>
  </si>
  <si>
    <t xml:space="preserve">192.168.1.221</t>
  </si>
  <si>
    <t xml:space="preserve">Max upload 100m</t>
  </si>
  <si>
    <t xml:space="preserve">/ds-vpath/</t>
  </si>
  <si>
    <t xml:space="preserve">http://192.168.1.221:8180/ds-vpath/</t>
  </si>
  <si>
    <t xml:space="preserve">/controlpanel/</t>
  </si>
  <si>
    <t xml:space="preserve">http://192.168.1.221:8180/controlpanel/</t>
  </si>
  <si>
    <t xml:space="preserve">emr.mahdibagh.org</t>
  </si>
  <si>
    <t xml:space="preserve">http://192.168.1.222:8080</t>
  </si>
  <si>
    <t xml:space="preserve">emr.mahdibagh.org.conf</t>
  </si>
  <si>
    <t xml:space="preserve">Max upload 50M</t>
  </si>
  <si>
    <t xml:space="preserve">ems-staging.leadows.com</t>
  </si>
  <si>
    <t xml:space="preserve">/ , /admin/ , /favicon.ico</t>
  </si>
  <si>
    <t xml:space="preserve">root /usr/share/nginx/html/ems-staging.leadows.com</t>
  </si>
  <si>
    <t xml:space="preserve">ems-staging.leadows.com.conf</t>
  </si>
  <si>
    <t xml:space="preserve">http://10.0.0.100:5050</t>
  </si>
  <si>
    <t xml:space="preserve">ems.leadows.com</t>
  </si>
  <si>
    <t xml:space="preserve">root /usr/share/nginx/html/ems.leadows.com</t>
  </si>
  <si>
    <t xml:space="preserve">ems.leadows.com.conf</t>
  </si>
  <si>
    <t xml:space="preserve">/app</t>
  </si>
  <si>
    <t xml:space="preserve">302 -&gt; App Store / Play Store (else https://ems.leadows.com/)</t>
  </si>
  <si>
    <t xml:space="preserve">Store links look like a placeholder (Airbnb app IDs) - verify</t>
  </si>
  <si>
    <t xml:space="preserve">http://10.0.0.100:5000</t>
  </si>
  <si>
    <t xml:space="preserve">http://10.0.0.100:5000/</t>
  </si>
  <si>
    <t xml:space="preserve">Alternate HTTPS port</t>
  </si>
  <si>
    <t xml:space="preserve">/ , /favicon.ico</t>
  </si>
  <si>
    <t xml:space="preserve">root /usr/share/nginx/html/sa.ems.leadows.com</t>
  </si>
  <si>
    <t xml:space="preserve">Super-admin front end</t>
  </si>
  <si>
    <t xml:space="preserve">hub.leadows.com</t>
  </si>
  <si>
    <t xml:space="preserve">root /usr/share/nginx/html/twine_frontend</t>
  </si>
  <si>
    <t xml:space="preserve">hub.leadows.com.conf</t>
  </si>
  <si>
    <t xml:space="preserve">khabar.mahdibagh.net</t>
  </si>
  <si>
    <t xml:space="preserve">khabar.mahdibagh.net.conf</t>
  </si>
  <si>
    <t xml:space="preserve">upstream: superdesk_client</t>
  </si>
  <si>
    <t xml:space="preserve">Superdesk; upstream address not captured; HTTP/2; max upload 500M</t>
  </si>
  <si>
    <t xml:space="preserve">/api/v2/</t>
  </si>
  <si>
    <t xml:space="preserve">upstream: publisher-server</t>
  </si>
  <si>
    <t xml:space="preserve">/media/</t>
  </si>
  <si>
    <t xml:space="preserve">upstream: superdesk_server</t>
  </si>
  <si>
    <t xml:space="preserve">/api/upload-raw/</t>
  </si>
  <si>
    <t xml:space="preserve">/capi/</t>
  </si>
  <si>
    <t xml:space="preserve">upstream: superdesk_capi</t>
  </si>
  <si>
    <t xml:space="preserve">/ws</t>
  </si>
  <si>
    <t xml:space="preserve">upstream: superdesk_ws</t>
  </si>
  <si>
    <t xml:space="preserve">/sd-media/</t>
  </si>
  <si>
    <t xml:space="preserve">upstream: media_proxy</t>
  </si>
  <si>
    <t xml:space="preserve">leadowserp.com, www.leadowserp.com</t>
  </si>
  <si>
    <t xml:space="preserve">http://10.0.0.100:3010</t>
  </si>
  <si>
    <t xml:space="preserve">leadowserp.com.conf</t>
  </si>
  <si>
    <t xml:space="preserve">leadowserp.leadows.com</t>
  </si>
  <si>
    <t xml:space="preserve">root /usr/share/nginx/html/leadows.leadowserp.com</t>
  </si>
  <si>
    <t xml:space="preserve">www.mahdibagh.org</t>
  </si>
  <si>
    <t xml:space="preserve">/administrator/</t>
  </si>
  <si>
    <t xml:space="preserve">http://10.0.0.200:8786</t>
  </si>
  <si>
    <t xml:space="preserve">10.0.0.200</t>
  </si>
  <si>
    <t xml:space="preserve">mahdibagh.org.conf</t>
  </si>
  <si>
    <t xml:space="preserve">Joomla admin path; max upload 500M</t>
  </si>
  <si>
    <t xml:space="preserve">~ \.php$ (PHP files)</t>
  </si>
  <si>
    <t xml:space="preserve">Rate limit php_limit (burst 3)</t>
  </si>
  <si>
    <t xml:space="preserve">Rate limit php_limit (burst 25)</t>
  </si>
  <si>
    <t xml:space="preserve">mbyc.mahdibagh.org</t>
  </si>
  <si>
    <t xml:space="preserve">http://192.168.1.222:8787</t>
  </si>
  <si>
    <t xml:space="preserve">Rate limit php_limit</t>
  </si>
  <si>
    <t xml:space="preserve">mbapp.mahdibagh.net</t>
  </si>
  <si>
    <t xml:space="preserve">http://10.0.0.200:8080</t>
  </si>
  <si>
    <t xml:space="preserve">mbapp.mahdibagh.net.conf</t>
  </si>
  <si>
    <t xml:space="preserve">Max upload 3M</t>
  </si>
  <si>
    <t xml:space="preserve">/api</t>
  </si>
  <si>
    <t xml:space="preserve">http://10.0.0.200:3100</t>
  </si>
  <si>
    <t xml:space="preserve">mbc.leadows.com</t>
  </si>
  <si>
    <t xml:space="preserve">root /usr/share/nginx/html/mbc.leadowserp.com</t>
  </si>
  <si>
    <t xml:space="preserve">mbc.leadows.com.conf</t>
  </si>
  <si>
    <t xml:space="preserve">http://10.0.0.100:3010/</t>
  </si>
  <si>
    <t xml:space="preserve">Passes Set-Cookie header</t>
  </si>
  <si>
    <t xml:space="preserve">mm.leadows.com (server_name _)</t>
  </si>
  <si>
    <t xml:space="preserve">http://10.0.0.200:8096</t>
  </si>
  <si>
    <t xml:space="preserve">mm.leadows.com.conf</t>
  </si>
  <si>
    <t xml:space="preserve">Plain HTTP catch-all; 8096 is Jellyfin's default port; max upload 20M</t>
  </si>
  <si>
    <t xml:space="preserve">myneuron.leadows.com</t>
  </si>
  <si>
    <t xml:space="preserve">root /usr/share/nginx/html/myneuron.leadows.com</t>
  </si>
  <si>
    <t xml:space="preserve">myneuron.leadows.conf</t>
  </si>
  <si>
    <t xml:space="preserve">http://localhost:9006</t>
  </si>
  <si>
    <t xml:space="preserve">Max upload 30M</t>
  </si>
  <si>
    <t xml:space="preserve">primary.leadowserp.com</t>
  </si>
  <si>
    <t xml:space="preserve">root /usr/share/nginx/html/primary.leadowserp.com</t>
  </si>
  <si>
    <t xml:space="preserve">primary.leadowserp.com.conf</t>
  </si>
  <si>
    <t xml:space="preserve">http://192.168.1.221:4001</t>
  </si>
  <si>
    <t xml:space="preserve">publisher.khabar.mahdibagh.net</t>
  </si>
  <si>
    <t xml:space="preserve">http://192.168.1.222:8082</t>
  </si>
  <si>
    <t xml:space="preserve">publisher.khabar.mahdibagh.net.conf</t>
  </si>
  <si>
    <t xml:space="preserve">punekar.leadows.com</t>
  </si>
  <si>
    <t xml:space="preserve">root /usr/share/nginx/html/punekar.leadows.com</t>
  </si>
  <si>
    <t xml:space="preserve">punekar.leadows.conf</t>
  </si>
  <si>
    <t xml:space="preserve">http://10.0.0.100:9011</t>
  </si>
  <si>
    <t xml:space="preserve">rag.leadows.com</t>
  </si>
  <si>
    <t xml:space="preserve">/.well-known/acme-challenge/</t>
  </si>
  <si>
    <t xml:space="preserve">root /var/www/html</t>
  </si>
  <si>
    <t xml:space="preserve">rag.leadows.com.conf</t>
  </si>
  <si>
    <t xml:space="preserve">Let's Encrypt validation</t>
  </si>
  <si>
    <t xml:space="preserve">upstream: helix_backend</t>
  </si>
  <si>
    <t xml:space="preserve">Upstream address not captured; max upload 100M</t>
  </si>
  <si>
    <t xml:space="preserve">/api/rag/</t>
  </si>
  <si>
    <t xml:space="preserve">upstream: rag_backend</t>
  </si>
  <si>
    <t xml:space="preserve">/api/doc/</t>
  </si>
  <si>
    <t xml:space="preserve">upstream: doc_backend</t>
  </si>
  <si>
    <t xml:space="preserve">root /var/www/rag-helix</t>
  </si>
  <si>
    <t xml:space="preserve">/dashboard/</t>
  </si>
  <si>
    <t xml:space="preserve">/chat/</t>
  </si>
  <si>
    <t xml:space="preserve">/upload , /dashboard (no slash) , /chat (no slash)</t>
  </si>
  <si>
    <t xml:space="preserve">301 -&gt; /dashboard/ or /chat/</t>
  </si>
  <si>
    <t xml:space="preserve">restaurant.leadows.com</t>
  </si>
  <si>
    <t xml:space="preserve">root /usr/share/nginx/html/restaurant (SPA)</t>
  </si>
  <si>
    <t xml:space="preserve">restaurant.leadows.conf</t>
  </si>
  <si>
    <t xml:space="preserve">http://localhost:8020</t>
  </si>
  <si>
    <t xml:space="preserve">7-day timeouts (long-lived connections)</t>
  </si>
  <si>
    <t xml:space="preserve">/rag/api/</t>
  </si>
  <si>
    <t xml:space="preserve">http://127.0.0.1:8080/</t>
  </si>
  <si>
    <t xml:space="preserve">RAG backend; /rag/api/ prefix stripped; max upload 110m; timeout 300s</t>
  </si>
  <si>
    <t xml:space="preserve">/rag/</t>
  </si>
  <si>
    <t xml:space="preserve">http://127.0.0.1:9000</t>
  </si>
  <si>
    <t xml:space="preserve">RAG front end (Vite preview); /rag/ prefix kept</t>
  </si>
  <si>
    <t xml:space="preserve">/task...</t>
  </si>
  <si>
    <t xml:space="preserve">http://127.0.0.1:7000</t>
  </si>
  <si>
    <t xml:space="preserve">Regex ^/task(/.*)?$</t>
  </si>
  <si>
    <t xml:space="preserve">schoolbus.leadows.com</t>
  </si>
  <si>
    <t xml:space="preserve">root /usr/share/nginx/html/school-bus.leadows.com</t>
  </si>
  <si>
    <t xml:space="preserve">schoolbus.leadows.com.conf</t>
  </si>
  <si>
    <t xml:space="preserve">Plain HTTP</t>
  </si>
  <si>
    <t xml:space="preserve">http://127.0.0.1:8078</t>
  </si>
  <si>
    <t xml:space="preserve">/geo/</t>
  </si>
  <si>
    <t xml:space="preserve">http://127.0.0.1:8088</t>
  </si>
  <si>
    <t xml:space="preserve">/s3/</t>
  </si>
  <si>
    <t xml:space="preserve">http://10.0.0.100:8333/</t>
  </si>
  <si>
    <t xml:space="preserve">S3 storage (SeaweedFS-style port); no upload limit</t>
  </si>
  <si>
    <t xml:space="preserve">www.schoolsecurity.uz</t>
  </si>
  <si>
    <t xml:space="preserve">301 -&gt; https://schoolsecurity.uz</t>
  </si>
  <si>
    <t xml:space="preserve">schoolsecurity.uz.conf</t>
  </si>
  <si>
    <t xml:space="preserve">schoolsecurity.uz</t>
  </si>
  <si>
    <t xml:space="preserve">No HTTPS (443) block seen for this domain in output</t>
  </si>
  <si>
    <t xml:space="preserve">api.schoolsecurity.uz</t>
  </si>
  <si>
    <t xml:space="preserve">http://127.0.0.1:9001</t>
  </si>
  <si>
    <t xml:space="preserve">No upload limit</t>
  </si>
  <si>
    <t xml:space="preserve">(root not captured)</t>
  </si>
  <si>
    <t xml:space="preserve">staging.leadowserp.com</t>
  </si>
  <si>
    <t xml:space="preserve">root /usr/share/nginx/html/leadowserp-staging/</t>
  </si>
  <si>
    <t xml:space="preserve">staging.leadowserp.com.conf</t>
  </si>
  <si>
    <t xml:space="preserve">http://192.168.1.221:3011</t>
  </si>
  <si>
    <t xml:space="preserve">/stub_status</t>
  </si>
  <si>
    <t xml:space="preserve">nginx stub_status</t>
  </si>
  <si>
    <t xml:space="preserve">stub_status.conf</t>
  </si>
  <si>
    <t xml:space="preserve">Nginx monitoring; see Issues sheet re: port 8080</t>
  </si>
  <si>
    <t xml:space="preserve">tasks.leadows.com</t>
  </si>
  <si>
    <t xml:space="preserve">tasks.leadows.com.conf</t>
  </si>
  <si>
    <t xml:space="preserve">http://10.0.0.100:8989</t>
  </si>
  <si>
    <t xml:space="preserve">train.leadows.com</t>
  </si>
  <si>
    <t xml:space="preserve">http://$jellyfin:8096</t>
  </si>
  <si>
    <t xml:space="preserve">$jellyfin (variable)</t>
  </si>
  <si>
    <t xml:space="preserve">train.leadows.com.conf</t>
  </si>
  <si>
    <t xml:space="preserve">$jellyfin set in upgrade-map.conf (not captured); HTTP/2</t>
  </si>
  <si>
    <t xml:space="preserve">/socket</t>
  </si>
  <si>
    <t xml:space="preserve">WebSocket</t>
  </si>
  <si>
    <t xml:space="preserve">training.leadows.com</t>
  </si>
  <si>
    <t xml:space="preserve">training.leadows.com.conf</t>
  </si>
  <si>
    <t xml:space="preserve">root /usr/share/nginx/html/training_moodle/public (Moodle, PHP via FastCGI)</t>
  </si>
  <si>
    <t xml:space="preserve">Max upload 100M; HTTP/2</t>
  </si>
  <si>
    <t xml:space="preserve">warehouse.leadows.com</t>
  </si>
  <si>
    <t xml:space="preserve">root /usr/share/nginx/html/warehouse.leadows.com</t>
  </si>
  <si>
    <t xml:space="preserve">warehouse.leadows.conf</t>
  </si>
  <si>
    <t xml:space="preserve">http://localhost:9020</t>
  </si>
  <si>
    <t xml:space="preserve">(default server)</t>
  </si>
  <si>
    <t xml:space="preserve">sites-enabled/default.conf</t>
  </si>
  <si>
    <t xml:space="preserve">default_server: catches any host on port 80 without its own block</t>
  </si>
  <si>
    <t xml:space="preserve">(catch-all, server_name _)</t>
  </si>
  <si>
    <t xml:space="preserve">(not captured)</t>
  </si>
  <si>
    <t xml:space="preserve">Listen port not captured</t>
  </si>
  <si>
    <t xml:space="preserve">Layer</t>
  </si>
  <si>
    <t xml:space="preserve">Domains / Services using this port</t>
  </si>
  <si>
    <t xml:space="preserve">Routes in Domain Map</t>
  </si>
  <si>
    <t xml:space="preserve">Purpose</t>
  </si>
  <si>
    <t xml:space="preserve">abg.leadows.com, akhbar.mahdibagh.net, demoshop.leadows.com, doks.leadows.com, emr.mahdibagh.org, khabar.mahdibagh.net, www.mahdibagh.org, mbapp.mahdibagh.net, rag.leadows.com, www.schoolsecurity.uz, schoolsecurity.uz, tasks.leadows.com, training.leadows.com, (default server)</t>
  </si>
  <si>
    <t xml:space="preserve">HTTP - redirects to HTTPS (or 404)</t>
  </si>
  <si>
    <t xml:space="preserve">abg.leadows.com, akhbar.mahdibagh.net, books.leadows.com, bugs.leadows.com, demoshop.leadows.com, docs.mahdibagh.org, doks.leadows.com, emr.mahdibagh.org, ems-staging.leadows.com, ems.leadows.com, hub.leadows.com, khabar.mahdibagh.net, leadowserp.com, www.leadowserp.com, leadowserp.leadows.com, www.mahdibagh.org, mbyc.mahdibagh.org, mbapp.mahdibagh.net, mbc.leadows.com, myneuron.leadows.com, primary.leadowserp.com, publisher.khabar.mahdibagh.net, punekar.leadows.com, rag.leadows.com, restaurant.leadows.com, staging.leadowserp.com, tasks.leadows.com, train.leadows.com, training.leadows.com, warehouse.leadows.com</t>
  </si>
  <si>
    <t xml:space="preserve">HTTPS - main public port</t>
  </si>
  <si>
    <t xml:space="preserve">leadowserp.leadows.com, mbc.leadows.com, staging.leadowserp.com</t>
  </si>
  <si>
    <t xml:space="preserve">Alternate HTTPS port (ERP apps)</t>
  </si>
  <si>
    <t xml:space="preserve">Alternate HTTPS port (ems.leadows.com)</t>
  </si>
  <si>
    <t xml:space="preserve">Alternate HTTPS port (ems super-admin)</t>
  </si>
  <si>
    <t xml:space="preserve">myneuron.leadows.com, primary.leadowserp.com, punekar.leadows.com</t>
  </si>
  <si>
    <t xml:space="preserve">Alternate HTTPS port (apps proxied to backends)</t>
  </si>
  <si>
    <t xml:space="preserve">Alternate HTTPS port (warehouse backend)</t>
  </si>
  <si>
    <t xml:space="preserve">Local nginx monitoring (stub_status)</t>
  </si>
  <si>
    <t xml:space="preserve">Plain HTTP - school bus app</t>
  </si>
  <si>
    <t xml:space="preserve">Plain HTTP - BAN web app (catch-all)</t>
  </si>
  <si>
    <t xml:space="preserve">Plain HTTP - school security API</t>
  </si>
  <si>
    <t xml:space="preserve">Plain HTTP - school security web app</t>
  </si>
  <si>
    <t xml:space="preserve">Plain HTTP - media server (catch-all)</t>
  </si>
  <si>
    <t xml:space="preserve">Stream (TCP)</t>
  </si>
  <si>
    <t xml:space="preserve">TCP</t>
  </si>
  <si>
    <t xml:space="preserve">Redis cluster node -&gt; 192.168.1.221:37001 | redis_cluster.conf.stream (IP whitelist: redis_whitelist.conf)</t>
  </si>
  <si>
    <t xml:space="preserve">-</t>
  </si>
  <si>
    <t xml:space="preserve">Raw TCP proxy (not HTTP)</t>
  </si>
  <si>
    <t xml:space="preserve">Redis cluster node -&gt; 192.168.1.221:37002 | redis_cluster.conf.stream (IP whitelist: redis_whitelist.conf)</t>
  </si>
  <si>
    <t xml:space="preserve">Redis cluster node -&gt; 192.168.1.221:37003 | redis_cluster.conf.stream (IP whitelist: redis_whitelist.conf)</t>
  </si>
  <si>
    <t xml:space="preserve">MongoDB cluster (upstream mongo_cluster) | nginx.conf (stream block)</t>
  </si>
  <si>
    <t xml:space="preserve">Used By (domain + path)</t>
  </si>
  <si>
    <t xml:space="preserve">Routes</t>
  </si>
  <si>
    <t xml:space="preserve">books.leadows.com/api/</t>
  </si>
  <si>
    <t xml:space="preserve">Runs on this nginx server itself</t>
  </si>
  <si>
    <t xml:space="preserve">ban.leadows.com (server_name _)/api/
ban.leadows.com (server_name _)/files/</t>
  </si>
  <si>
    <t xml:space="preserve">restaurant.leadows.com/task...</t>
  </si>
  <si>
    <t xml:space="preserve">restaurant.leadows.com/api/</t>
  </si>
  <si>
    <t xml:space="preserve">schoolbus.leadows.com/api/</t>
  </si>
  <si>
    <t xml:space="preserve">restaurant.leadows.com/rag/api/</t>
  </si>
  <si>
    <t xml:space="preserve">schoolbus.leadows.com/geo/</t>
  </si>
  <si>
    <t xml:space="preserve">demoshop.leadows.com/phpmyadmin/</t>
  </si>
  <si>
    <t xml:space="preserve">restaurant.leadows.com/rag/
api.schoolsecurity.uz/api/</t>
  </si>
  <si>
    <t xml:space="preserve">api.schoolsecurity.uz/geo/</t>
  </si>
  <si>
    <t xml:space="preserve">train.leadows.com
train.leadows.com/socket</t>
  </si>
  <si>
    <t xml:space="preserve">leadowserp.com, www.leadowserp.com
leadowserp.leadows.com
mbc.leadows.com/api/
mbc.leadows.com</t>
  </si>
  <si>
    <t xml:space="preserve">Backend server A</t>
  </si>
  <si>
    <t xml:space="preserve">ems.leadows.com/api/
ems.leadows.com</t>
  </si>
  <si>
    <t xml:space="preserve">ems-staging.leadows.com/api/</t>
  </si>
  <si>
    <t xml:space="preserve">schoolbus.leadows.com/s3/
api.schoolsecurity.uz/s3/</t>
  </si>
  <si>
    <t xml:space="preserve">mbapp.mahdibagh.net/api</t>
  </si>
  <si>
    <t xml:space="preserve">Backend server B</t>
  </si>
  <si>
    <t xml:space="preserve">www.mahdibagh.org/administrator/
www.mahdibagh.org~ \.php$ (PHP files)
www.mahdibagh.org</t>
  </si>
  <si>
    <t xml:space="preserve">Backend server C (LAN)</t>
  </si>
  <si>
    <t xml:space="preserve">doks.leadows.com
doks.leadows.com/ds-vpath/
doks.leadows.com/controlpanel/</t>
  </si>
  <si>
    <t xml:space="preserve">Backend server D (LAN)</t>
  </si>
  <si>
    <t xml:space="preserve">mbyc.mahdibagh.org/administrator/
mbyc.mahdibagh.org~ \.php$ (PHP files)
mbyc.mahdibagh.org</t>
  </si>
  <si>
    <t xml:space="preserve">Config File</t>
  </si>
  <si>
    <t xml:space="preserve">Domains / Purpose</t>
  </si>
  <si>
    <t xml:space="preserve">Active (loaded)</t>
  </si>
  <si>
    <t xml:space="preserve">leadowserp.com, www.leadowserp.com, leadowserp.leadows.com</t>
  </si>
  <si>
    <t xml:space="preserve">www.mahdibagh.org, mbyc.mahdibagh.org</t>
  </si>
  <si>
    <t xml:space="preserve">www.schoolsecurity.uz, schoolsecurity.uz, api.schoolsecurity.uz</t>
  </si>
  <si>
    <t xml:space="preserve">(default server), (catch-all, server_name _)</t>
  </si>
  <si>
    <t xml:space="preserve">nginx.conf</t>
  </si>
  <si>
    <t xml:space="preserve">Main config: stream block with MongoDB ports 60007-60009, rate-limit zone php_limit (500 req/s, status 429)</t>
  </si>
  <si>
    <t xml:space="preserve">redis_cluster.conf.stream</t>
  </si>
  <si>
    <t xml:space="preserve">Stream block: Redis ports 7001-7003; includes /etc/nginx/redis_whitelist.conf</t>
  </si>
  <si>
    <t xml:space="preserve">redis_whitelist.conf</t>
  </si>
  <si>
    <t xml:space="preserve">IP whitelist for the Redis stream ports</t>
  </si>
  <si>
    <t xml:space="preserve">upgrade-map.conf</t>
  </si>
  <si>
    <t xml:space="preserve">Map definitions (probably sets $jellyfin) - content not captured</t>
  </si>
  <si>
    <t xml:space="preserve">leadows.leadowserp.com.conf.bak</t>
  </si>
  <si>
    <t xml:space="preserve">Backup - NOT loaded</t>
  </si>
  <si>
    <t xml:space="preserve">Ignored by nginx (extension is not .conf). Safe to archive or delete.</t>
  </si>
  <si>
    <t xml:space="preserve">khabar.mahdibagh.net.conf.bak</t>
  </si>
  <si>
    <t xml:space="preserve">mahdibagh.org.conf.bak</t>
  </si>
  <si>
    <t xml:space="preserve">mahdibagh.org.conf.1.bak</t>
  </si>
  <si>
    <t xml:space="preserve">redis_cluster.conf.stream.bak</t>
  </si>
  <si>
    <t xml:space="preserve">restaurant.leadows.conf.bak</t>
  </si>
  <si>
    <t xml:space="preserve">restaurant.leadows.conf.save</t>
  </si>
  <si>
    <t xml:space="preserve">schoolbus.leadows.com.conf.bak</t>
  </si>
  <si>
    <t xml:space="preserve">schoolsecurity.uz.conf.bak</t>
  </si>
  <si>
    <t xml:space="preserve">ems-staging.leadows.com.conf.save</t>
  </si>
  <si>
    <t xml:space="preserve">Priority</t>
  </si>
  <si>
    <t xml:space="preserve">Item</t>
  </si>
  <si>
    <t xml:space="preserve">What was seen</t>
  </si>
  <si>
    <t xml:space="preserve">What to check / do</t>
  </si>
  <si>
    <t xml:space="preserve">High</t>
  </si>
  <si>
    <t xml:space="preserve">Port 8080 used twice</t>
  </si>
  <si>
    <t xml:space="preserve">nginx stub_status listens on 8080, and restaurant.leadows.com /rag/api/ proxies to 127.0.0.1:8080 (RAG backend).</t>
  </si>
  <si>
    <t xml:space="preserve">Run: sudo ss -tlnp | grep :8080  - if both are expected, move stub_status to a different port (e.g. 8081).</t>
  </si>
  <si>
    <t xml:space="preserve">Local port 9000 used twice</t>
  </si>
  <si>
    <t xml:space="preserve">restaurant /rag/ -&gt; 127.0.0.1:9000 (Vite) and api.schoolsecurity.uz /api/ -&gt; 127.0.0.1:9000.</t>
  </si>
  <si>
    <t xml:space="preserve">Run: sudo ss -tlnp | grep :9000 - confirm which app really owns it and give the other app its own port.</t>
  </si>
  <si>
    <t xml:space="preserve">Database ports exposed via nginx</t>
  </si>
  <si>
    <t xml:space="preserve">Redis (7001-7003) and MongoDB (60007-60009) are published as TCP stream ports.</t>
  </si>
  <si>
    <t xml:space="preserve">Confirm firewall / redis_whitelist.conf restricts who can connect. Check that the whitelist covers the Mongo ports too.</t>
  </si>
  <si>
    <t xml:space="preserve">Medium</t>
  </si>
  <si>
    <t xml:space="preserve">Public plain-HTTP ports</t>
  </si>
  <si>
    <t xml:space="preserve">10080, 10081, 10180, 10181 and 28096 have no SSL in nginx.</t>
  </si>
  <si>
    <t xml:space="preserve">Confirm TLS is handled elsewhere (e.g. another proxy/CDN) or add SSL if exposed to the internet.</t>
  </si>
  <si>
    <t xml:space="preserve">schoolsecurity.uz has no HTTPS block</t>
  </si>
  <si>
    <t xml:space="preserve">Port 80 redirects to https://schoolsecurity.uz, but no 443 server for that domain appeared in the output.</t>
  </si>
  <si>
    <t xml:space="preserve">Run: sudo nginx -T | grep -n 'schoolsecurity.uz'  to confirm the 443 block exists.</t>
  </si>
  <si>
    <t xml:space="preserve">Upstream/variable addresses not captured</t>
  </si>
  <si>
    <t xml:space="preserve">Upstreams: publisher, superdesk_client/server/ws/capi, publisher-server, media_proxy, helix_backend, rag_backend, doc_backend, mongo_cluster; variable $jellyfin.</t>
  </si>
  <si>
    <t xml:space="preserve">Run: sudo nginx -T 2&gt;/dev/null | grep -E -A6 '^\s*upstream|^\s*map ' and send the output so the sheet can be completed.</t>
  </si>
  <si>
    <t xml:space="preserve">Missing target</t>
  </si>
  <si>
    <t xml:space="preserve">books.leadows.com /live/project/ target not captured.</t>
  </si>
  <si>
    <t xml:space="preserve">Run: sudo grep -A6 '/live/project/' /etc/nginx/conf.d/books.leadows.conf</t>
  </si>
  <si>
    <t xml:space="preserve">Low</t>
  </si>
  <si>
    <t xml:space="preserve">Catch-all server_name _ on custom ports</t>
  </si>
  <si>
    <t xml:space="preserve">ban (10081) and mm (28096) answer to any host name on those ports.</t>
  </si>
  <si>
    <t xml:space="preserve">Acceptable, but any request to server-IP:port reaches the app. Set a real server_name if needed.</t>
  </si>
  <si>
    <t xml:space="preserve">Shared alternate ports</t>
  </si>
  <si>
    <t xml:space="preserve">3009, 4000 are shared by several domains.</t>
  </si>
  <si>
    <t xml:space="preserve">Works through SNI (name-based). Clients without SNI may get the first server's certificate.</t>
  </si>
  <si>
    <t xml:space="preserve">Placeholder app-store links</t>
  </si>
  <si>
    <t xml:space="preserve">ems.leadows.com /app redirects to Airbnb app-store links.</t>
  </si>
  <si>
    <t xml:space="preserve">Replace with your real app links when ready.</t>
  </si>
  <si>
    <t xml:space="preserve">Backup files in conf.d</t>
  </si>
  <si>
    <t xml:space="preserve">10 .bak / .save files exist (see Config Files sheet).</t>
  </si>
  <si>
    <t xml:space="preserve">Move to a separate backup folder to avoid confusion.</t>
  </si>
  <si>
    <t xml:space="preserve">Info</t>
  </si>
  <si>
    <t xml:space="preserve">Domains without their own port-80 block</t>
  </si>
  <si>
    <t xml:space="preserve">Many HTTPS domains have no HTTP block.</t>
  </si>
  <si>
    <t xml:space="preserve">They fall to sites-enabled/default.conf (default_server), which redirects to HTTPS.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</si>
</sst>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F7F7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2F2F2"/>
      </patternFill>
    </fill>
    <fill>
      <patternFill patternType="solid">
        <fgColor rgb="FFEDEDED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EDE1F5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DE1F5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EDE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EDEDED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COUNTA('Domain Map'!$B$2:$B$107)</f>
        <v>106</v>
      </c>
    </row>
    <row r="6" customFormat="false" ht="15" hidden="false" customHeight="false" outlineLevel="0" collapsed="false">
      <c r="A6" s="4" t="s">
        <v>4</v>
      </c>
      <c r="B6" s="5" t="n">
        <f aca="false">SUMPRODUCT(1/COUNTIF('Domain Map'!$B$2:$B$107,'Domain Map'!$B$2:$B$107))</f>
        <v>39</v>
      </c>
    </row>
    <row r="7" customFormat="false" ht="15" hidden="false" customHeight="false" outlineLevel="0" collapsed="false">
      <c r="A7" s="4" t="s">
        <v>5</v>
      </c>
      <c r="B7" s="5" t="n">
        <f aca="false">COUNTIF('Domain Map'!$F$2:$F$107,"Proxy")</f>
        <v>63</v>
      </c>
    </row>
    <row r="8" customFormat="false" ht="15" hidden="false" customHeight="false" outlineLevel="0" collapsed="false">
      <c r="A8" s="4" t="s">
        <v>6</v>
      </c>
      <c r="B8" s="5" t="n">
        <f aca="false">COUNTIF('Domain Map'!$F$2:$F$107,"Static")</f>
        <v>25</v>
      </c>
    </row>
    <row r="9" customFormat="false" ht="15" hidden="false" customHeight="false" outlineLevel="0" collapsed="false">
      <c r="A9" s="4" t="s">
        <v>7</v>
      </c>
      <c r="B9" s="5" t="n">
        <f aca="false">COUNTIF('Domain Map'!$F$2:$F$107,"Redirect")+COUNTIF('Domain Map'!$F$2:$F$107,"Return")</f>
        <v>17</v>
      </c>
    </row>
    <row r="10" customFormat="false" ht="15" hidden="false" customHeight="false" outlineLevel="0" collapsed="false">
      <c r="A10" s="4" t="s">
        <v>8</v>
      </c>
      <c r="B10" s="5" t="n">
        <f aca="false">COUNTIF('Port Summary'!$B$2:$B$20,"HTTP")</f>
        <v>13</v>
      </c>
    </row>
    <row r="11" customFormat="false" ht="15" hidden="false" customHeight="false" outlineLevel="0" collapsed="false">
      <c r="A11" s="4" t="s">
        <v>9</v>
      </c>
      <c r="B11" s="5" t="n">
        <f aca="false">COUNTIF('Port Summary'!$B$2:$B$20,"Stream (TCP)")</f>
        <v>6</v>
      </c>
    </row>
    <row r="12" customFormat="false" ht="15" hidden="false" customHeight="false" outlineLevel="0" collapsed="false">
      <c r="A12" s="4" t="s">
        <v>10</v>
      </c>
      <c r="B12" s="5" t="n">
        <f aca="false">COUNTA('Issues &amp; Checks'!$C$2:$C$13)</f>
        <v>12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6" t="s">
        <v>12</v>
      </c>
      <c r="B15" s="4" t="s">
        <v>13</v>
      </c>
    </row>
    <row r="16" customFormat="false" ht="15" hidden="false" customHeight="false" outlineLevel="0" collapsed="false">
      <c r="A16" s="6" t="s">
        <v>14</v>
      </c>
      <c r="B16" s="4" t="s">
        <v>15</v>
      </c>
    </row>
    <row r="17" customFormat="false" ht="15" hidden="false" customHeight="false" outlineLevel="0" collapsed="false">
      <c r="A17" s="6" t="s">
        <v>16</v>
      </c>
      <c r="B17" s="4" t="s">
        <v>17</v>
      </c>
    </row>
    <row r="18" customFormat="false" ht="15" hidden="false" customHeight="false" outlineLevel="0" collapsed="false">
      <c r="A18" s="6" t="s">
        <v>18</v>
      </c>
      <c r="B18" s="4" t="s">
        <v>19</v>
      </c>
    </row>
    <row r="19" customFormat="false" ht="15" hidden="false" customHeight="false" outlineLevel="0" collapsed="false">
      <c r="A19" s="6" t="s">
        <v>20</v>
      </c>
      <c r="B19" s="4" t="s">
        <v>21</v>
      </c>
    </row>
    <row r="21" customFormat="false" ht="15" hidden="false" customHeight="false" outlineLevel="0" collapsed="false">
      <c r="A21" s="3" t="s">
        <v>22</v>
      </c>
    </row>
    <row r="22" customFormat="false" ht="15" hidden="false" customHeight="false" outlineLevel="0" collapsed="false">
      <c r="A22" s="7" t="s">
        <v>23</v>
      </c>
      <c r="B22" s="4" t="s">
        <v>24</v>
      </c>
    </row>
    <row r="23" customFormat="false" ht="15" hidden="false" customHeight="false" outlineLevel="0" collapsed="false">
      <c r="A23" s="8" t="s">
        <v>25</v>
      </c>
      <c r="B23" s="4" t="s">
        <v>26</v>
      </c>
    </row>
    <row r="24" customFormat="false" ht="15" hidden="false" customHeight="false" outlineLevel="0" collapsed="false">
      <c r="A24" s="9" t="s">
        <v>27</v>
      </c>
      <c r="B24" s="4" t="s">
        <v>28</v>
      </c>
    </row>
    <row r="25" customFormat="false" ht="15" hidden="false" customHeight="false" outlineLevel="0" collapsed="false">
      <c r="A25" s="10" t="s">
        <v>29</v>
      </c>
      <c r="B25" s="4" t="s">
        <v>30</v>
      </c>
    </row>
    <row r="27" customFormat="false" ht="15" hidden="false" customHeight="false" outlineLevel="0" collapsed="false">
      <c r="A27" s="1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4" min="3" style="0" width="10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52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58"/>
  </cols>
  <sheetData>
    <row r="1" customFormat="false" ht="30" hidden="false" customHeight="true" outlineLevel="0" collapsed="false">
      <c r="A1" s="12" t="s">
        <v>32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  <c r="H1" s="12" t="s">
        <v>39</v>
      </c>
      <c r="I1" s="12" t="s">
        <v>40</v>
      </c>
      <c r="J1" s="12" t="s">
        <v>41</v>
      </c>
      <c r="K1" s="12" t="s">
        <v>42</v>
      </c>
    </row>
    <row r="2" customFormat="false" ht="15" hidden="false" customHeight="false" outlineLevel="0" collapsed="false">
      <c r="A2" s="13" t="n">
        <v>1</v>
      </c>
      <c r="B2" s="14" t="s">
        <v>43</v>
      </c>
      <c r="C2" s="13" t="n">
        <v>443</v>
      </c>
      <c r="D2" s="13" t="s">
        <v>44</v>
      </c>
      <c r="E2" s="14" t="s">
        <v>45</v>
      </c>
      <c r="F2" s="15" t="s">
        <v>23</v>
      </c>
      <c r="G2" s="14" t="s">
        <v>46</v>
      </c>
      <c r="H2" s="16" t="s">
        <v>47</v>
      </c>
      <c r="I2" s="13" t="n">
        <v>8090</v>
      </c>
      <c r="J2" s="16" t="s">
        <v>48</v>
      </c>
      <c r="K2" s="14"/>
    </row>
    <row r="3" customFormat="false" ht="15" hidden="false" customHeight="false" outlineLevel="0" collapsed="false">
      <c r="A3" s="13" t="n">
        <v>2</v>
      </c>
      <c r="B3" s="14" t="s">
        <v>43</v>
      </c>
      <c r="C3" s="13" t="n">
        <v>80</v>
      </c>
      <c r="D3" s="13" t="s">
        <v>49</v>
      </c>
      <c r="E3" s="14" t="s">
        <v>45</v>
      </c>
      <c r="F3" s="17" t="s">
        <v>27</v>
      </c>
      <c r="G3" s="14" t="s">
        <v>50</v>
      </c>
      <c r="H3" s="16"/>
      <c r="I3" s="13"/>
      <c r="J3" s="16" t="s">
        <v>48</v>
      </c>
      <c r="K3" s="14"/>
    </row>
    <row r="4" customFormat="false" ht="15" hidden="false" customHeight="false" outlineLevel="0" collapsed="false">
      <c r="A4" s="13" t="n">
        <v>3</v>
      </c>
      <c r="B4" s="14" t="s">
        <v>51</v>
      </c>
      <c r="C4" s="13" t="n">
        <v>443</v>
      </c>
      <c r="D4" s="13" t="s">
        <v>44</v>
      </c>
      <c r="E4" s="14" t="s">
        <v>45</v>
      </c>
      <c r="F4" s="15" t="s">
        <v>23</v>
      </c>
      <c r="G4" s="14" t="s">
        <v>52</v>
      </c>
      <c r="H4" s="16"/>
      <c r="I4" s="13"/>
      <c r="J4" s="16" t="s">
        <v>53</v>
      </c>
      <c r="K4" s="14" t="s">
        <v>54</v>
      </c>
    </row>
    <row r="5" customFormat="false" ht="15" hidden="false" customHeight="false" outlineLevel="0" collapsed="false">
      <c r="A5" s="13" t="n">
        <v>4</v>
      </c>
      <c r="B5" s="14" t="s">
        <v>51</v>
      </c>
      <c r="C5" s="13" t="n">
        <v>80</v>
      </c>
      <c r="D5" s="13" t="s">
        <v>49</v>
      </c>
      <c r="E5" s="14" t="s">
        <v>45</v>
      </c>
      <c r="F5" s="17" t="s">
        <v>27</v>
      </c>
      <c r="G5" s="14" t="s">
        <v>55</v>
      </c>
      <c r="H5" s="16"/>
      <c r="I5" s="13"/>
      <c r="J5" s="16" t="s">
        <v>53</v>
      </c>
      <c r="K5" s="14"/>
    </row>
    <row r="6" customFormat="false" ht="15" hidden="false" customHeight="false" outlineLevel="0" collapsed="false">
      <c r="A6" s="13" t="n">
        <v>5</v>
      </c>
      <c r="B6" s="14" t="s">
        <v>56</v>
      </c>
      <c r="C6" s="13" t="n">
        <v>10181</v>
      </c>
      <c r="D6" s="13" t="s">
        <v>49</v>
      </c>
      <c r="E6" s="14" t="s">
        <v>45</v>
      </c>
      <c r="F6" s="18" t="s">
        <v>25</v>
      </c>
      <c r="G6" s="14" t="s">
        <v>57</v>
      </c>
      <c r="H6" s="16"/>
      <c r="I6" s="13"/>
      <c r="J6" s="16" t="s">
        <v>58</v>
      </c>
      <c r="K6" s="14" t="s">
        <v>59</v>
      </c>
    </row>
    <row r="7" customFormat="false" ht="23.85" hidden="false" customHeight="false" outlineLevel="0" collapsed="false">
      <c r="A7" s="13" t="n">
        <v>6</v>
      </c>
      <c r="B7" s="14" t="s">
        <v>60</v>
      </c>
      <c r="C7" s="13" t="n">
        <v>10081</v>
      </c>
      <c r="D7" s="13" t="s">
        <v>49</v>
      </c>
      <c r="E7" s="14" t="s">
        <v>61</v>
      </c>
      <c r="F7" s="15" t="s">
        <v>23</v>
      </c>
      <c r="G7" s="14" t="s">
        <v>62</v>
      </c>
      <c r="H7" s="16" t="s">
        <v>63</v>
      </c>
      <c r="I7" s="13" t="n">
        <v>4100</v>
      </c>
      <c r="J7" s="16" t="s">
        <v>64</v>
      </c>
      <c r="K7" s="14" t="s">
        <v>65</v>
      </c>
    </row>
    <row r="8" customFormat="false" ht="15" hidden="false" customHeight="false" outlineLevel="0" collapsed="false">
      <c r="A8" s="13" t="n">
        <v>7</v>
      </c>
      <c r="B8" s="14" t="s">
        <v>60</v>
      </c>
      <c r="C8" s="13" t="n">
        <v>10081</v>
      </c>
      <c r="D8" s="13" t="s">
        <v>49</v>
      </c>
      <c r="E8" s="14" t="s">
        <v>66</v>
      </c>
      <c r="F8" s="15" t="s">
        <v>23</v>
      </c>
      <c r="G8" s="14" t="s">
        <v>67</v>
      </c>
      <c r="H8" s="16" t="s">
        <v>63</v>
      </c>
      <c r="I8" s="13" t="n">
        <v>4100</v>
      </c>
      <c r="J8" s="16" t="s">
        <v>64</v>
      </c>
      <c r="K8" s="14" t="s">
        <v>68</v>
      </c>
    </row>
    <row r="9" customFormat="false" ht="15" hidden="false" customHeight="false" outlineLevel="0" collapsed="false">
      <c r="A9" s="13" t="n">
        <v>8</v>
      </c>
      <c r="B9" s="14" t="s">
        <v>60</v>
      </c>
      <c r="C9" s="13" t="n">
        <v>10081</v>
      </c>
      <c r="D9" s="13" t="s">
        <v>49</v>
      </c>
      <c r="E9" s="14" t="s">
        <v>69</v>
      </c>
      <c r="F9" s="18" t="s">
        <v>25</v>
      </c>
      <c r="G9" s="14" t="s">
        <v>70</v>
      </c>
      <c r="H9" s="16"/>
      <c r="I9" s="13"/>
      <c r="J9" s="16" t="s">
        <v>64</v>
      </c>
      <c r="K9" s="14"/>
    </row>
    <row r="10" customFormat="false" ht="15" hidden="false" customHeight="false" outlineLevel="0" collapsed="false">
      <c r="A10" s="13" t="n">
        <v>9</v>
      </c>
      <c r="B10" s="14" t="s">
        <v>60</v>
      </c>
      <c r="C10" s="13" t="n">
        <v>10081</v>
      </c>
      <c r="D10" s="13" t="s">
        <v>49</v>
      </c>
      <c r="E10" s="14" t="s">
        <v>71</v>
      </c>
      <c r="F10" s="18" t="s">
        <v>25</v>
      </c>
      <c r="G10" s="14" t="s">
        <v>72</v>
      </c>
      <c r="H10" s="16"/>
      <c r="I10" s="13"/>
      <c r="J10" s="16" t="s">
        <v>64</v>
      </c>
      <c r="K10" s="14"/>
    </row>
    <row r="11" customFormat="false" ht="15" hidden="false" customHeight="false" outlineLevel="0" collapsed="false">
      <c r="A11" s="13" t="n">
        <v>10</v>
      </c>
      <c r="B11" s="14" t="s">
        <v>60</v>
      </c>
      <c r="C11" s="13" t="n">
        <v>10081</v>
      </c>
      <c r="D11" s="13" t="s">
        <v>49</v>
      </c>
      <c r="E11" s="14" t="s">
        <v>73</v>
      </c>
      <c r="F11" s="18" t="s">
        <v>25</v>
      </c>
      <c r="G11" s="14" t="s">
        <v>72</v>
      </c>
      <c r="H11" s="16"/>
      <c r="I11" s="13"/>
      <c r="J11" s="16" t="s">
        <v>64</v>
      </c>
      <c r="K11" s="14"/>
    </row>
    <row r="12" customFormat="false" ht="35.05" hidden="false" customHeight="false" outlineLevel="0" collapsed="false">
      <c r="A12" s="13" t="n">
        <v>11</v>
      </c>
      <c r="B12" s="14" t="s">
        <v>60</v>
      </c>
      <c r="C12" s="13" t="n">
        <v>10081</v>
      </c>
      <c r="D12" s="13" t="s">
        <v>49</v>
      </c>
      <c r="E12" s="14" t="s">
        <v>45</v>
      </c>
      <c r="F12" s="18" t="s">
        <v>25</v>
      </c>
      <c r="G12" s="14" t="s">
        <v>74</v>
      </c>
      <c r="H12" s="16"/>
      <c r="I12" s="13"/>
      <c r="J12" s="16" t="s">
        <v>64</v>
      </c>
      <c r="K12" s="14" t="s">
        <v>75</v>
      </c>
    </row>
    <row r="13" customFormat="false" ht="15" hidden="false" customHeight="false" outlineLevel="0" collapsed="false">
      <c r="A13" s="13" t="n">
        <v>12</v>
      </c>
      <c r="B13" s="14" t="s">
        <v>76</v>
      </c>
      <c r="C13" s="13" t="n">
        <v>443</v>
      </c>
      <c r="D13" s="13" t="s">
        <v>44</v>
      </c>
      <c r="E13" s="14" t="s">
        <v>77</v>
      </c>
      <c r="F13" s="15" t="s">
        <v>23</v>
      </c>
      <c r="G13" s="14" t="s">
        <v>78</v>
      </c>
      <c r="H13" s="16"/>
      <c r="I13" s="13"/>
      <c r="J13" s="16" t="s">
        <v>79</v>
      </c>
      <c r="K13" s="14" t="s">
        <v>80</v>
      </c>
    </row>
    <row r="14" customFormat="false" ht="15" hidden="false" customHeight="false" outlineLevel="0" collapsed="false">
      <c r="A14" s="13" t="n">
        <v>13</v>
      </c>
      <c r="B14" s="14" t="s">
        <v>76</v>
      </c>
      <c r="C14" s="13" t="n">
        <v>443</v>
      </c>
      <c r="D14" s="13" t="s">
        <v>44</v>
      </c>
      <c r="E14" s="14" t="s">
        <v>61</v>
      </c>
      <c r="F14" s="15" t="s">
        <v>23</v>
      </c>
      <c r="G14" s="14" t="s">
        <v>81</v>
      </c>
      <c r="H14" s="16" t="s">
        <v>63</v>
      </c>
      <c r="I14" s="13" t="n">
        <v>3001</v>
      </c>
      <c r="J14" s="16" t="s">
        <v>79</v>
      </c>
      <c r="K14" s="14"/>
    </row>
    <row r="15" customFormat="false" ht="15" hidden="false" customHeight="false" outlineLevel="0" collapsed="false">
      <c r="A15" s="13" t="n">
        <v>14</v>
      </c>
      <c r="B15" s="14" t="s">
        <v>76</v>
      </c>
      <c r="C15" s="13" t="n">
        <v>443</v>
      </c>
      <c r="D15" s="13" t="s">
        <v>44</v>
      </c>
      <c r="E15" s="14" t="s">
        <v>45</v>
      </c>
      <c r="F15" s="15" t="s">
        <v>23</v>
      </c>
      <c r="G15" s="14" t="s">
        <v>82</v>
      </c>
      <c r="H15" s="16" t="s">
        <v>63</v>
      </c>
      <c r="I15" s="13" t="n">
        <v>6875</v>
      </c>
      <c r="J15" s="16" t="s">
        <v>79</v>
      </c>
      <c r="K15" s="14"/>
    </row>
    <row r="16" customFormat="false" ht="15" hidden="false" customHeight="false" outlineLevel="0" collapsed="false">
      <c r="A16" s="13" t="n">
        <v>15</v>
      </c>
      <c r="B16" s="14" t="s">
        <v>83</v>
      </c>
      <c r="C16" s="13" t="n">
        <v>443</v>
      </c>
      <c r="D16" s="13" t="s">
        <v>44</v>
      </c>
      <c r="E16" s="14" t="s">
        <v>45</v>
      </c>
      <c r="F16" s="15" t="s">
        <v>23</v>
      </c>
      <c r="G16" s="14" t="s">
        <v>84</v>
      </c>
      <c r="H16" s="16" t="s">
        <v>47</v>
      </c>
      <c r="I16" s="13" t="n">
        <v>8082</v>
      </c>
      <c r="J16" s="16" t="s">
        <v>85</v>
      </c>
      <c r="K16" s="14" t="s">
        <v>86</v>
      </c>
    </row>
    <row r="17" customFormat="false" ht="23.85" hidden="false" customHeight="false" outlineLevel="0" collapsed="false">
      <c r="A17" s="13" t="n">
        <v>16</v>
      </c>
      <c r="B17" s="14" t="s">
        <v>87</v>
      </c>
      <c r="C17" s="13" t="n">
        <v>443</v>
      </c>
      <c r="D17" s="13" t="s">
        <v>44</v>
      </c>
      <c r="E17" s="14" t="s">
        <v>45</v>
      </c>
      <c r="F17" s="15" t="s">
        <v>23</v>
      </c>
      <c r="G17" s="14" t="s">
        <v>88</v>
      </c>
      <c r="H17" s="16" t="s">
        <v>63</v>
      </c>
      <c r="I17" s="13" t="n">
        <v>8555</v>
      </c>
      <c r="J17" s="16" t="s">
        <v>89</v>
      </c>
      <c r="K17" s="14" t="s">
        <v>90</v>
      </c>
    </row>
    <row r="18" customFormat="false" ht="15" hidden="false" customHeight="false" outlineLevel="0" collapsed="false">
      <c r="A18" s="13" t="n">
        <v>17</v>
      </c>
      <c r="B18" s="14" t="s">
        <v>87</v>
      </c>
      <c r="C18" s="13" t="n">
        <v>443</v>
      </c>
      <c r="D18" s="13" t="s">
        <v>44</v>
      </c>
      <c r="E18" s="14" t="s">
        <v>91</v>
      </c>
      <c r="F18" s="15" t="s">
        <v>23</v>
      </c>
      <c r="G18" s="14" t="s">
        <v>92</v>
      </c>
      <c r="H18" s="16" t="s">
        <v>63</v>
      </c>
      <c r="I18" s="13" t="n">
        <v>8556</v>
      </c>
      <c r="J18" s="16" t="s">
        <v>89</v>
      </c>
      <c r="K18" s="14" t="s">
        <v>93</v>
      </c>
    </row>
    <row r="19" customFormat="false" ht="15" hidden="false" customHeight="false" outlineLevel="0" collapsed="false">
      <c r="A19" s="13" t="n">
        <v>18</v>
      </c>
      <c r="B19" s="14" t="s">
        <v>87</v>
      </c>
      <c r="C19" s="13" t="n">
        <v>80</v>
      </c>
      <c r="D19" s="13" t="s">
        <v>49</v>
      </c>
      <c r="E19" s="14" t="s">
        <v>45</v>
      </c>
      <c r="F19" s="17" t="s">
        <v>27</v>
      </c>
      <c r="G19" s="14" t="s">
        <v>55</v>
      </c>
      <c r="H19" s="16"/>
      <c r="I19" s="13"/>
      <c r="J19" s="16" t="s">
        <v>89</v>
      </c>
      <c r="K19" s="14" t="s">
        <v>94</v>
      </c>
    </row>
    <row r="20" customFormat="false" ht="15" hidden="false" customHeight="false" outlineLevel="0" collapsed="false">
      <c r="A20" s="13" t="n">
        <v>19</v>
      </c>
      <c r="B20" s="14" t="s">
        <v>95</v>
      </c>
      <c r="C20" s="13" t="n">
        <v>443</v>
      </c>
      <c r="D20" s="13" t="s">
        <v>44</v>
      </c>
      <c r="E20" s="14" t="s">
        <v>45</v>
      </c>
      <c r="F20" s="15" t="s">
        <v>23</v>
      </c>
      <c r="G20" s="14" t="s">
        <v>96</v>
      </c>
      <c r="H20" s="16" t="s">
        <v>97</v>
      </c>
      <c r="I20" s="13" t="n">
        <v>82</v>
      </c>
      <c r="J20" s="16" t="s">
        <v>98</v>
      </c>
      <c r="K20" s="14" t="s">
        <v>99</v>
      </c>
    </row>
    <row r="21" customFormat="false" ht="15" hidden="false" customHeight="false" outlineLevel="0" collapsed="false">
      <c r="A21" s="13" t="n">
        <v>20</v>
      </c>
      <c r="B21" s="14" t="s">
        <v>95</v>
      </c>
      <c r="C21" s="13" t="n">
        <v>443</v>
      </c>
      <c r="D21" s="13" t="s">
        <v>44</v>
      </c>
      <c r="E21" s="14" t="s">
        <v>100</v>
      </c>
      <c r="F21" s="17" t="s">
        <v>101</v>
      </c>
      <c r="G21" s="14" t="s">
        <v>102</v>
      </c>
      <c r="H21" s="16"/>
      <c r="I21" s="13"/>
      <c r="J21" s="16" t="s">
        <v>98</v>
      </c>
      <c r="K21" s="14"/>
    </row>
    <row r="22" customFormat="false" ht="15" hidden="false" customHeight="false" outlineLevel="0" collapsed="false">
      <c r="A22" s="13" t="n">
        <v>21</v>
      </c>
      <c r="B22" s="14" t="s">
        <v>103</v>
      </c>
      <c r="C22" s="13" t="n">
        <v>80</v>
      </c>
      <c r="D22" s="13" t="s">
        <v>49</v>
      </c>
      <c r="E22" s="14" t="s">
        <v>45</v>
      </c>
      <c r="F22" s="17" t="s">
        <v>27</v>
      </c>
      <c r="G22" s="14" t="s">
        <v>104</v>
      </c>
      <c r="H22" s="16"/>
      <c r="I22" s="13"/>
      <c r="J22" s="16" t="s">
        <v>105</v>
      </c>
      <c r="K22" s="14"/>
    </row>
    <row r="23" customFormat="false" ht="15" hidden="false" customHeight="false" outlineLevel="0" collapsed="false">
      <c r="A23" s="13" t="n">
        <v>22</v>
      </c>
      <c r="B23" s="14" t="s">
        <v>103</v>
      </c>
      <c r="C23" s="13" t="n">
        <v>443</v>
      </c>
      <c r="D23" s="13" t="s">
        <v>44</v>
      </c>
      <c r="E23" s="14" t="s">
        <v>45</v>
      </c>
      <c r="F23" s="15" t="s">
        <v>23</v>
      </c>
      <c r="G23" s="14" t="s">
        <v>106</v>
      </c>
      <c r="H23" s="16" t="s">
        <v>107</v>
      </c>
      <c r="I23" s="13" t="n">
        <v>8180</v>
      </c>
      <c r="J23" s="16" t="s">
        <v>105</v>
      </c>
      <c r="K23" s="14" t="s">
        <v>108</v>
      </c>
    </row>
    <row r="24" customFormat="false" ht="15" hidden="false" customHeight="false" outlineLevel="0" collapsed="false">
      <c r="A24" s="13" t="n">
        <v>23</v>
      </c>
      <c r="B24" s="14" t="s">
        <v>103</v>
      </c>
      <c r="C24" s="13" t="n">
        <v>443</v>
      </c>
      <c r="D24" s="13" t="s">
        <v>44</v>
      </c>
      <c r="E24" s="14" t="s">
        <v>109</v>
      </c>
      <c r="F24" s="15" t="s">
        <v>23</v>
      </c>
      <c r="G24" s="14" t="s">
        <v>110</v>
      </c>
      <c r="H24" s="16" t="s">
        <v>107</v>
      </c>
      <c r="I24" s="13" t="n">
        <v>8180</v>
      </c>
      <c r="J24" s="16" t="s">
        <v>105</v>
      </c>
      <c r="K24" s="14"/>
    </row>
    <row r="25" customFormat="false" ht="15" hidden="false" customHeight="false" outlineLevel="0" collapsed="false">
      <c r="A25" s="13" t="n">
        <v>24</v>
      </c>
      <c r="B25" s="14" t="s">
        <v>103</v>
      </c>
      <c r="C25" s="13" t="n">
        <v>443</v>
      </c>
      <c r="D25" s="13" t="s">
        <v>44</v>
      </c>
      <c r="E25" s="14" t="s">
        <v>111</v>
      </c>
      <c r="F25" s="15" t="s">
        <v>23</v>
      </c>
      <c r="G25" s="14" t="s">
        <v>112</v>
      </c>
      <c r="H25" s="16" t="s">
        <v>107</v>
      </c>
      <c r="I25" s="13" t="n">
        <v>8180</v>
      </c>
      <c r="J25" s="16" t="s">
        <v>105</v>
      </c>
      <c r="K25" s="14"/>
    </row>
    <row r="26" customFormat="false" ht="15" hidden="false" customHeight="false" outlineLevel="0" collapsed="false">
      <c r="A26" s="13" t="n">
        <v>25</v>
      </c>
      <c r="B26" s="14" t="s">
        <v>113</v>
      </c>
      <c r="C26" s="13" t="n">
        <v>443</v>
      </c>
      <c r="D26" s="13" t="s">
        <v>44</v>
      </c>
      <c r="E26" s="14" t="s">
        <v>45</v>
      </c>
      <c r="F26" s="15" t="s">
        <v>23</v>
      </c>
      <c r="G26" s="14" t="s">
        <v>114</v>
      </c>
      <c r="H26" s="16" t="s">
        <v>97</v>
      </c>
      <c r="I26" s="13" t="n">
        <v>8080</v>
      </c>
      <c r="J26" s="16" t="s">
        <v>115</v>
      </c>
      <c r="K26" s="14" t="s">
        <v>116</v>
      </c>
    </row>
    <row r="27" customFormat="false" ht="15" hidden="false" customHeight="false" outlineLevel="0" collapsed="false">
      <c r="A27" s="13" t="n">
        <v>26</v>
      </c>
      <c r="B27" s="14" t="s">
        <v>113</v>
      </c>
      <c r="C27" s="13" t="n">
        <v>80</v>
      </c>
      <c r="D27" s="13" t="s">
        <v>49</v>
      </c>
      <c r="E27" s="14" t="s">
        <v>45</v>
      </c>
      <c r="F27" s="17" t="s">
        <v>27</v>
      </c>
      <c r="G27" s="14" t="s">
        <v>104</v>
      </c>
      <c r="H27" s="16"/>
      <c r="I27" s="13"/>
      <c r="J27" s="16" t="s">
        <v>115</v>
      </c>
      <c r="K27" s="14"/>
    </row>
    <row r="28" customFormat="false" ht="15" hidden="false" customHeight="false" outlineLevel="0" collapsed="false">
      <c r="A28" s="13" t="n">
        <v>27</v>
      </c>
      <c r="B28" s="14" t="s">
        <v>117</v>
      </c>
      <c r="C28" s="13" t="n">
        <v>443</v>
      </c>
      <c r="D28" s="13" t="s">
        <v>44</v>
      </c>
      <c r="E28" s="14" t="s">
        <v>118</v>
      </c>
      <c r="F28" s="18" t="s">
        <v>25</v>
      </c>
      <c r="G28" s="14" t="s">
        <v>119</v>
      </c>
      <c r="H28" s="16"/>
      <c r="I28" s="13"/>
      <c r="J28" s="16" t="s">
        <v>120</v>
      </c>
      <c r="K28" s="14"/>
    </row>
    <row r="29" customFormat="false" ht="15" hidden="false" customHeight="false" outlineLevel="0" collapsed="false">
      <c r="A29" s="13" t="n">
        <v>28</v>
      </c>
      <c r="B29" s="14" t="s">
        <v>117</v>
      </c>
      <c r="C29" s="13" t="n">
        <v>443</v>
      </c>
      <c r="D29" s="13" t="s">
        <v>44</v>
      </c>
      <c r="E29" s="14" t="s">
        <v>61</v>
      </c>
      <c r="F29" s="15" t="s">
        <v>23</v>
      </c>
      <c r="G29" s="14" t="s">
        <v>121</v>
      </c>
      <c r="H29" s="16" t="s">
        <v>47</v>
      </c>
      <c r="I29" s="13" t="n">
        <v>5050</v>
      </c>
      <c r="J29" s="16" t="s">
        <v>120</v>
      </c>
      <c r="K29" s="14"/>
    </row>
    <row r="30" customFormat="false" ht="15" hidden="false" customHeight="false" outlineLevel="0" collapsed="false">
      <c r="A30" s="13" t="n">
        <v>29</v>
      </c>
      <c r="B30" s="14" t="s">
        <v>122</v>
      </c>
      <c r="C30" s="13" t="n">
        <v>443</v>
      </c>
      <c r="D30" s="13" t="s">
        <v>44</v>
      </c>
      <c r="E30" s="14" t="s">
        <v>118</v>
      </c>
      <c r="F30" s="18" t="s">
        <v>25</v>
      </c>
      <c r="G30" s="14" t="s">
        <v>123</v>
      </c>
      <c r="H30" s="16"/>
      <c r="I30" s="13"/>
      <c r="J30" s="16" t="s">
        <v>124</v>
      </c>
      <c r="K30" s="14"/>
    </row>
    <row r="31" customFormat="false" ht="15" hidden="false" customHeight="false" outlineLevel="0" collapsed="false">
      <c r="A31" s="13" t="n">
        <v>30</v>
      </c>
      <c r="B31" s="14" t="s">
        <v>122</v>
      </c>
      <c r="C31" s="13" t="n">
        <v>443</v>
      </c>
      <c r="D31" s="13" t="s">
        <v>44</v>
      </c>
      <c r="E31" s="14" t="s">
        <v>125</v>
      </c>
      <c r="F31" s="17" t="s">
        <v>27</v>
      </c>
      <c r="G31" s="14" t="s">
        <v>126</v>
      </c>
      <c r="H31" s="16"/>
      <c r="I31" s="13"/>
      <c r="J31" s="16" t="s">
        <v>124</v>
      </c>
      <c r="K31" s="14" t="s">
        <v>127</v>
      </c>
    </row>
    <row r="32" customFormat="false" ht="15" hidden="false" customHeight="false" outlineLevel="0" collapsed="false">
      <c r="A32" s="13" t="n">
        <v>31</v>
      </c>
      <c r="B32" s="14" t="s">
        <v>122</v>
      </c>
      <c r="C32" s="13" t="n">
        <v>443</v>
      </c>
      <c r="D32" s="13" t="s">
        <v>44</v>
      </c>
      <c r="E32" s="14" t="s">
        <v>61</v>
      </c>
      <c r="F32" s="15" t="s">
        <v>23</v>
      </c>
      <c r="G32" s="14" t="s">
        <v>128</v>
      </c>
      <c r="H32" s="16" t="s">
        <v>47</v>
      </c>
      <c r="I32" s="13" t="n">
        <v>5000</v>
      </c>
      <c r="J32" s="16" t="s">
        <v>124</v>
      </c>
      <c r="K32" s="14"/>
    </row>
    <row r="33" customFormat="false" ht="15" hidden="false" customHeight="false" outlineLevel="0" collapsed="false">
      <c r="A33" s="13" t="n">
        <v>32</v>
      </c>
      <c r="B33" s="14" t="s">
        <v>122</v>
      </c>
      <c r="C33" s="13" t="n">
        <v>3021</v>
      </c>
      <c r="D33" s="13" t="s">
        <v>44</v>
      </c>
      <c r="E33" s="14" t="s">
        <v>45</v>
      </c>
      <c r="F33" s="15" t="s">
        <v>23</v>
      </c>
      <c r="G33" s="14" t="s">
        <v>129</v>
      </c>
      <c r="H33" s="16" t="s">
        <v>47</v>
      </c>
      <c r="I33" s="13" t="n">
        <v>5000</v>
      </c>
      <c r="J33" s="16" t="s">
        <v>124</v>
      </c>
      <c r="K33" s="14" t="s">
        <v>130</v>
      </c>
    </row>
    <row r="34" customFormat="false" ht="15" hidden="false" customHeight="false" outlineLevel="0" collapsed="false">
      <c r="A34" s="13" t="n">
        <v>33</v>
      </c>
      <c r="B34" s="14" t="s">
        <v>122</v>
      </c>
      <c r="C34" s="13" t="n">
        <v>3022</v>
      </c>
      <c r="D34" s="13" t="s">
        <v>44</v>
      </c>
      <c r="E34" s="14" t="s">
        <v>131</v>
      </c>
      <c r="F34" s="18" t="s">
        <v>25</v>
      </c>
      <c r="G34" s="14" t="s">
        <v>132</v>
      </c>
      <c r="H34" s="16"/>
      <c r="I34" s="13"/>
      <c r="J34" s="16" t="s">
        <v>124</v>
      </c>
      <c r="K34" s="14" t="s">
        <v>133</v>
      </c>
    </row>
    <row r="35" customFormat="false" ht="15" hidden="false" customHeight="false" outlineLevel="0" collapsed="false">
      <c r="A35" s="13" t="n">
        <v>34</v>
      </c>
      <c r="B35" s="14" t="s">
        <v>134</v>
      </c>
      <c r="C35" s="13" t="n">
        <v>443</v>
      </c>
      <c r="D35" s="13" t="s">
        <v>44</v>
      </c>
      <c r="E35" s="14" t="s">
        <v>45</v>
      </c>
      <c r="F35" s="18" t="s">
        <v>25</v>
      </c>
      <c r="G35" s="14" t="s">
        <v>135</v>
      </c>
      <c r="H35" s="16"/>
      <c r="I35" s="13"/>
      <c r="J35" s="16" t="s">
        <v>136</v>
      </c>
      <c r="K35" s="14"/>
    </row>
    <row r="36" customFormat="false" ht="15" hidden="false" customHeight="false" outlineLevel="0" collapsed="false">
      <c r="A36" s="13" t="n">
        <v>35</v>
      </c>
      <c r="B36" s="14" t="s">
        <v>137</v>
      </c>
      <c r="C36" s="13" t="n">
        <v>80</v>
      </c>
      <c r="D36" s="13" t="s">
        <v>49</v>
      </c>
      <c r="E36" s="14" t="s">
        <v>45</v>
      </c>
      <c r="F36" s="17" t="s">
        <v>27</v>
      </c>
      <c r="G36" s="14" t="s">
        <v>104</v>
      </c>
      <c r="H36" s="16"/>
      <c r="I36" s="13"/>
      <c r="J36" s="16" t="s">
        <v>138</v>
      </c>
      <c r="K36" s="14"/>
    </row>
    <row r="37" customFormat="false" ht="15" hidden="false" customHeight="false" outlineLevel="0" collapsed="false">
      <c r="A37" s="13" t="n">
        <v>36</v>
      </c>
      <c r="B37" s="14" t="s">
        <v>137</v>
      </c>
      <c r="C37" s="13" t="n">
        <v>443</v>
      </c>
      <c r="D37" s="13" t="s">
        <v>44</v>
      </c>
      <c r="E37" s="14" t="s">
        <v>45</v>
      </c>
      <c r="F37" s="15" t="s">
        <v>23</v>
      </c>
      <c r="G37" s="14" t="s">
        <v>139</v>
      </c>
      <c r="H37" s="16"/>
      <c r="I37" s="13"/>
      <c r="J37" s="16" t="s">
        <v>138</v>
      </c>
      <c r="K37" s="14" t="s">
        <v>140</v>
      </c>
    </row>
    <row r="38" customFormat="false" ht="15" hidden="false" customHeight="false" outlineLevel="0" collapsed="false">
      <c r="A38" s="13" t="n">
        <v>37</v>
      </c>
      <c r="B38" s="14" t="s">
        <v>137</v>
      </c>
      <c r="C38" s="13" t="n">
        <v>443</v>
      </c>
      <c r="D38" s="13" t="s">
        <v>44</v>
      </c>
      <c r="E38" s="14" t="s">
        <v>141</v>
      </c>
      <c r="F38" s="15" t="s">
        <v>23</v>
      </c>
      <c r="G38" s="14" t="s">
        <v>142</v>
      </c>
      <c r="H38" s="16"/>
      <c r="I38" s="13"/>
      <c r="J38" s="16" t="s">
        <v>138</v>
      </c>
      <c r="K38" s="14" t="s">
        <v>54</v>
      </c>
    </row>
    <row r="39" customFormat="false" ht="15" hidden="false" customHeight="false" outlineLevel="0" collapsed="false">
      <c r="A39" s="13" t="n">
        <v>38</v>
      </c>
      <c r="B39" s="14" t="s">
        <v>137</v>
      </c>
      <c r="C39" s="13" t="n">
        <v>443</v>
      </c>
      <c r="D39" s="13" t="s">
        <v>44</v>
      </c>
      <c r="E39" s="14" t="s">
        <v>143</v>
      </c>
      <c r="F39" s="15" t="s">
        <v>23</v>
      </c>
      <c r="G39" s="14" t="s">
        <v>142</v>
      </c>
      <c r="H39" s="16"/>
      <c r="I39" s="13"/>
      <c r="J39" s="16" t="s">
        <v>138</v>
      </c>
      <c r="K39" s="14" t="s">
        <v>54</v>
      </c>
    </row>
    <row r="40" customFormat="false" ht="15" hidden="false" customHeight="false" outlineLevel="0" collapsed="false">
      <c r="A40" s="13" t="n">
        <v>39</v>
      </c>
      <c r="B40" s="14" t="s">
        <v>137</v>
      </c>
      <c r="C40" s="13" t="n">
        <v>443</v>
      </c>
      <c r="D40" s="13" t="s">
        <v>44</v>
      </c>
      <c r="E40" s="14" t="s">
        <v>61</v>
      </c>
      <c r="F40" s="15" t="s">
        <v>23</v>
      </c>
      <c r="G40" s="14" t="s">
        <v>144</v>
      </c>
      <c r="H40" s="16"/>
      <c r="I40" s="13"/>
      <c r="J40" s="16" t="s">
        <v>138</v>
      </c>
      <c r="K40" s="14" t="s">
        <v>54</v>
      </c>
    </row>
    <row r="41" customFormat="false" ht="15" hidden="false" customHeight="false" outlineLevel="0" collapsed="false">
      <c r="A41" s="13" t="n">
        <v>40</v>
      </c>
      <c r="B41" s="14" t="s">
        <v>137</v>
      </c>
      <c r="C41" s="13" t="n">
        <v>443</v>
      </c>
      <c r="D41" s="13" t="s">
        <v>44</v>
      </c>
      <c r="E41" s="14" t="s">
        <v>145</v>
      </c>
      <c r="F41" s="15" t="s">
        <v>23</v>
      </c>
      <c r="G41" s="14" t="s">
        <v>144</v>
      </c>
      <c r="H41" s="16"/>
      <c r="I41" s="13"/>
      <c r="J41" s="16" t="s">
        <v>138</v>
      </c>
      <c r="K41" s="14" t="s">
        <v>54</v>
      </c>
    </row>
    <row r="42" customFormat="false" ht="15" hidden="false" customHeight="false" outlineLevel="0" collapsed="false">
      <c r="A42" s="13" t="n">
        <v>41</v>
      </c>
      <c r="B42" s="14" t="s">
        <v>137</v>
      </c>
      <c r="C42" s="13" t="n">
        <v>443</v>
      </c>
      <c r="D42" s="13" t="s">
        <v>44</v>
      </c>
      <c r="E42" s="14" t="s">
        <v>146</v>
      </c>
      <c r="F42" s="15" t="s">
        <v>23</v>
      </c>
      <c r="G42" s="14" t="s">
        <v>147</v>
      </c>
      <c r="H42" s="16"/>
      <c r="I42" s="13"/>
      <c r="J42" s="16" t="s">
        <v>138</v>
      </c>
      <c r="K42" s="14" t="s">
        <v>54</v>
      </c>
    </row>
    <row r="43" customFormat="false" ht="15" hidden="false" customHeight="false" outlineLevel="0" collapsed="false">
      <c r="A43" s="13" t="n">
        <v>42</v>
      </c>
      <c r="B43" s="14" t="s">
        <v>137</v>
      </c>
      <c r="C43" s="13" t="n">
        <v>443</v>
      </c>
      <c r="D43" s="13" t="s">
        <v>44</v>
      </c>
      <c r="E43" s="14" t="s">
        <v>148</v>
      </c>
      <c r="F43" s="15" t="s">
        <v>23</v>
      </c>
      <c r="G43" s="14" t="s">
        <v>149</v>
      </c>
      <c r="H43" s="16"/>
      <c r="I43" s="13"/>
      <c r="J43" s="16" t="s">
        <v>138</v>
      </c>
      <c r="K43" s="14" t="s">
        <v>54</v>
      </c>
    </row>
    <row r="44" customFormat="false" ht="15" hidden="false" customHeight="false" outlineLevel="0" collapsed="false">
      <c r="A44" s="13" t="n">
        <v>43</v>
      </c>
      <c r="B44" s="14" t="s">
        <v>137</v>
      </c>
      <c r="C44" s="13" t="n">
        <v>443</v>
      </c>
      <c r="D44" s="13" t="s">
        <v>44</v>
      </c>
      <c r="E44" s="14" t="s">
        <v>150</v>
      </c>
      <c r="F44" s="15" t="s">
        <v>23</v>
      </c>
      <c r="G44" s="14" t="s">
        <v>151</v>
      </c>
      <c r="H44" s="16"/>
      <c r="I44" s="13"/>
      <c r="J44" s="16" t="s">
        <v>138</v>
      </c>
      <c r="K44" s="14" t="s">
        <v>54</v>
      </c>
    </row>
    <row r="45" customFormat="false" ht="15" hidden="false" customHeight="false" outlineLevel="0" collapsed="false">
      <c r="A45" s="13" t="n">
        <v>44</v>
      </c>
      <c r="B45" s="14" t="s">
        <v>152</v>
      </c>
      <c r="C45" s="13" t="n">
        <v>443</v>
      </c>
      <c r="D45" s="13" t="s">
        <v>44</v>
      </c>
      <c r="E45" s="14" t="s">
        <v>45</v>
      </c>
      <c r="F45" s="15" t="s">
        <v>23</v>
      </c>
      <c r="G45" s="14" t="s">
        <v>153</v>
      </c>
      <c r="H45" s="16" t="s">
        <v>47</v>
      </c>
      <c r="I45" s="13" t="n">
        <v>3010</v>
      </c>
      <c r="J45" s="16" t="s">
        <v>154</v>
      </c>
      <c r="K45" s="14"/>
    </row>
    <row r="46" customFormat="false" ht="15" hidden="false" customHeight="false" outlineLevel="0" collapsed="false">
      <c r="A46" s="13" t="n">
        <v>45</v>
      </c>
      <c r="B46" s="14" t="s">
        <v>155</v>
      </c>
      <c r="C46" s="13" t="n">
        <v>443</v>
      </c>
      <c r="D46" s="13" t="s">
        <v>44</v>
      </c>
      <c r="E46" s="14" t="s">
        <v>45</v>
      </c>
      <c r="F46" s="18" t="s">
        <v>25</v>
      </c>
      <c r="G46" s="14" t="s">
        <v>156</v>
      </c>
      <c r="H46" s="16"/>
      <c r="I46" s="13"/>
      <c r="J46" s="16" t="s">
        <v>154</v>
      </c>
      <c r="K46" s="14"/>
    </row>
    <row r="47" customFormat="false" ht="15" hidden="false" customHeight="false" outlineLevel="0" collapsed="false">
      <c r="A47" s="13" t="n">
        <v>46</v>
      </c>
      <c r="B47" s="14" t="s">
        <v>155</v>
      </c>
      <c r="C47" s="13" t="n">
        <v>3009</v>
      </c>
      <c r="D47" s="13" t="s">
        <v>44</v>
      </c>
      <c r="E47" s="14" t="s">
        <v>45</v>
      </c>
      <c r="F47" s="15" t="s">
        <v>23</v>
      </c>
      <c r="G47" s="14" t="s">
        <v>153</v>
      </c>
      <c r="H47" s="16" t="s">
        <v>47</v>
      </c>
      <c r="I47" s="13" t="n">
        <v>3010</v>
      </c>
      <c r="J47" s="16" t="s">
        <v>154</v>
      </c>
      <c r="K47" s="14" t="s">
        <v>130</v>
      </c>
    </row>
    <row r="48" customFormat="false" ht="15" hidden="false" customHeight="false" outlineLevel="0" collapsed="false">
      <c r="A48" s="13" t="n">
        <v>47</v>
      </c>
      <c r="B48" s="14" t="s">
        <v>157</v>
      </c>
      <c r="C48" s="13" t="n">
        <v>443</v>
      </c>
      <c r="D48" s="13" t="s">
        <v>44</v>
      </c>
      <c r="E48" s="14" t="s">
        <v>158</v>
      </c>
      <c r="F48" s="15" t="s">
        <v>23</v>
      </c>
      <c r="G48" s="14" t="s">
        <v>159</v>
      </c>
      <c r="H48" s="16" t="s">
        <v>160</v>
      </c>
      <c r="I48" s="13" t="n">
        <v>8786</v>
      </c>
      <c r="J48" s="16" t="s">
        <v>161</v>
      </c>
      <c r="K48" s="14" t="s">
        <v>162</v>
      </c>
    </row>
    <row r="49" customFormat="false" ht="15" hidden="false" customHeight="false" outlineLevel="0" collapsed="false">
      <c r="A49" s="13" t="n">
        <v>48</v>
      </c>
      <c r="B49" s="14" t="s">
        <v>157</v>
      </c>
      <c r="C49" s="13" t="n">
        <v>443</v>
      </c>
      <c r="D49" s="13" t="s">
        <v>44</v>
      </c>
      <c r="E49" s="14" t="s">
        <v>163</v>
      </c>
      <c r="F49" s="15" t="s">
        <v>23</v>
      </c>
      <c r="G49" s="14" t="s">
        <v>159</v>
      </c>
      <c r="H49" s="16" t="s">
        <v>160</v>
      </c>
      <c r="I49" s="13" t="n">
        <v>8786</v>
      </c>
      <c r="J49" s="16" t="s">
        <v>161</v>
      </c>
      <c r="K49" s="14" t="s">
        <v>164</v>
      </c>
    </row>
    <row r="50" customFormat="false" ht="15" hidden="false" customHeight="false" outlineLevel="0" collapsed="false">
      <c r="A50" s="13" t="n">
        <v>49</v>
      </c>
      <c r="B50" s="14" t="s">
        <v>157</v>
      </c>
      <c r="C50" s="13" t="n">
        <v>443</v>
      </c>
      <c r="D50" s="13" t="s">
        <v>44</v>
      </c>
      <c r="E50" s="14" t="s">
        <v>45</v>
      </c>
      <c r="F50" s="15" t="s">
        <v>23</v>
      </c>
      <c r="G50" s="14" t="s">
        <v>159</v>
      </c>
      <c r="H50" s="16" t="s">
        <v>160</v>
      </c>
      <c r="I50" s="13" t="n">
        <v>8786</v>
      </c>
      <c r="J50" s="16" t="s">
        <v>161</v>
      </c>
      <c r="K50" s="14" t="s">
        <v>165</v>
      </c>
    </row>
    <row r="51" customFormat="false" ht="15" hidden="false" customHeight="false" outlineLevel="0" collapsed="false">
      <c r="A51" s="13" t="n">
        <v>50</v>
      </c>
      <c r="B51" s="14" t="s">
        <v>157</v>
      </c>
      <c r="C51" s="13" t="n">
        <v>80</v>
      </c>
      <c r="D51" s="13" t="s">
        <v>49</v>
      </c>
      <c r="E51" s="14" t="s">
        <v>45</v>
      </c>
      <c r="F51" s="17" t="s">
        <v>27</v>
      </c>
      <c r="G51" s="14" t="s">
        <v>55</v>
      </c>
      <c r="H51" s="16"/>
      <c r="I51" s="13"/>
      <c r="J51" s="16" t="s">
        <v>161</v>
      </c>
      <c r="K51" s="14"/>
    </row>
    <row r="52" customFormat="false" ht="15" hidden="false" customHeight="false" outlineLevel="0" collapsed="false">
      <c r="A52" s="13" t="n">
        <v>51</v>
      </c>
      <c r="B52" s="14" t="s">
        <v>166</v>
      </c>
      <c r="C52" s="13" t="n">
        <v>443</v>
      </c>
      <c r="D52" s="13" t="s">
        <v>44</v>
      </c>
      <c r="E52" s="14" t="s">
        <v>158</v>
      </c>
      <c r="F52" s="15" t="s">
        <v>23</v>
      </c>
      <c r="G52" s="14" t="s">
        <v>167</v>
      </c>
      <c r="H52" s="16" t="s">
        <v>97</v>
      </c>
      <c r="I52" s="13" t="n">
        <v>8787</v>
      </c>
      <c r="J52" s="16" t="s">
        <v>161</v>
      </c>
      <c r="K52" s="14" t="s">
        <v>99</v>
      </c>
    </row>
    <row r="53" customFormat="false" ht="15" hidden="false" customHeight="false" outlineLevel="0" collapsed="false">
      <c r="A53" s="13" t="n">
        <v>52</v>
      </c>
      <c r="B53" s="14" t="s">
        <v>166</v>
      </c>
      <c r="C53" s="13" t="n">
        <v>443</v>
      </c>
      <c r="D53" s="13" t="s">
        <v>44</v>
      </c>
      <c r="E53" s="14" t="s">
        <v>163</v>
      </c>
      <c r="F53" s="15" t="s">
        <v>23</v>
      </c>
      <c r="G53" s="14" t="s">
        <v>167</v>
      </c>
      <c r="H53" s="16" t="s">
        <v>97</v>
      </c>
      <c r="I53" s="13" t="n">
        <v>8787</v>
      </c>
      <c r="J53" s="16" t="s">
        <v>161</v>
      </c>
      <c r="K53" s="14" t="s">
        <v>168</v>
      </c>
    </row>
    <row r="54" customFormat="false" ht="15" hidden="false" customHeight="false" outlineLevel="0" collapsed="false">
      <c r="A54" s="13" t="n">
        <v>53</v>
      </c>
      <c r="B54" s="14" t="s">
        <v>166</v>
      </c>
      <c r="C54" s="13" t="n">
        <v>443</v>
      </c>
      <c r="D54" s="13" t="s">
        <v>44</v>
      </c>
      <c r="E54" s="14" t="s">
        <v>45</v>
      </c>
      <c r="F54" s="15" t="s">
        <v>23</v>
      </c>
      <c r="G54" s="14" t="s">
        <v>167</v>
      </c>
      <c r="H54" s="16" t="s">
        <v>97</v>
      </c>
      <c r="I54" s="13" t="n">
        <v>8787</v>
      </c>
      <c r="J54" s="16" t="s">
        <v>161</v>
      </c>
      <c r="K54" s="14" t="s">
        <v>168</v>
      </c>
    </row>
    <row r="55" customFormat="false" ht="15" hidden="false" customHeight="false" outlineLevel="0" collapsed="false">
      <c r="A55" s="13" t="n">
        <v>54</v>
      </c>
      <c r="B55" s="14" t="s">
        <v>169</v>
      </c>
      <c r="C55" s="13" t="n">
        <v>443</v>
      </c>
      <c r="D55" s="13" t="s">
        <v>44</v>
      </c>
      <c r="E55" s="14" t="s">
        <v>45</v>
      </c>
      <c r="F55" s="15" t="s">
        <v>23</v>
      </c>
      <c r="G55" s="14" t="s">
        <v>170</v>
      </c>
      <c r="H55" s="16" t="s">
        <v>160</v>
      </c>
      <c r="I55" s="13" t="n">
        <v>8080</v>
      </c>
      <c r="J55" s="16" t="s">
        <v>171</v>
      </c>
      <c r="K55" s="14" t="s">
        <v>172</v>
      </c>
    </row>
    <row r="56" customFormat="false" ht="15" hidden="false" customHeight="false" outlineLevel="0" collapsed="false">
      <c r="A56" s="13" t="n">
        <v>55</v>
      </c>
      <c r="B56" s="14" t="s">
        <v>169</v>
      </c>
      <c r="C56" s="13" t="n">
        <v>443</v>
      </c>
      <c r="D56" s="13" t="s">
        <v>44</v>
      </c>
      <c r="E56" s="14" t="s">
        <v>173</v>
      </c>
      <c r="F56" s="15" t="s">
        <v>23</v>
      </c>
      <c r="G56" s="14" t="s">
        <v>174</v>
      </c>
      <c r="H56" s="16" t="s">
        <v>160</v>
      </c>
      <c r="I56" s="13" t="n">
        <v>3100</v>
      </c>
      <c r="J56" s="16" t="s">
        <v>171</v>
      </c>
      <c r="K56" s="14"/>
    </row>
    <row r="57" customFormat="false" ht="15" hidden="false" customHeight="false" outlineLevel="0" collapsed="false">
      <c r="A57" s="13" t="n">
        <v>56</v>
      </c>
      <c r="B57" s="14" t="s">
        <v>169</v>
      </c>
      <c r="C57" s="13" t="n">
        <v>80</v>
      </c>
      <c r="D57" s="13" t="s">
        <v>49</v>
      </c>
      <c r="E57" s="14" t="s">
        <v>45</v>
      </c>
      <c r="F57" s="17" t="s">
        <v>27</v>
      </c>
      <c r="G57" s="14" t="s">
        <v>55</v>
      </c>
      <c r="H57" s="16"/>
      <c r="I57" s="13"/>
      <c r="J57" s="16" t="s">
        <v>171</v>
      </c>
      <c r="K57" s="14"/>
    </row>
    <row r="58" customFormat="false" ht="15" hidden="false" customHeight="false" outlineLevel="0" collapsed="false">
      <c r="A58" s="13" t="n">
        <v>57</v>
      </c>
      <c r="B58" s="14" t="s">
        <v>175</v>
      </c>
      <c r="C58" s="13" t="n">
        <v>443</v>
      </c>
      <c r="D58" s="13" t="s">
        <v>44</v>
      </c>
      <c r="E58" s="14" t="s">
        <v>45</v>
      </c>
      <c r="F58" s="18" t="s">
        <v>25</v>
      </c>
      <c r="G58" s="14" t="s">
        <v>176</v>
      </c>
      <c r="H58" s="16"/>
      <c r="I58" s="13"/>
      <c r="J58" s="16" t="s">
        <v>177</v>
      </c>
      <c r="K58" s="14"/>
    </row>
    <row r="59" customFormat="false" ht="15" hidden="false" customHeight="false" outlineLevel="0" collapsed="false">
      <c r="A59" s="13" t="n">
        <v>58</v>
      </c>
      <c r="B59" s="14" t="s">
        <v>175</v>
      </c>
      <c r="C59" s="13" t="n">
        <v>443</v>
      </c>
      <c r="D59" s="13" t="s">
        <v>44</v>
      </c>
      <c r="E59" s="14" t="s">
        <v>61</v>
      </c>
      <c r="F59" s="15" t="s">
        <v>23</v>
      </c>
      <c r="G59" s="14" t="s">
        <v>178</v>
      </c>
      <c r="H59" s="16" t="s">
        <v>47</v>
      </c>
      <c r="I59" s="13" t="n">
        <v>3010</v>
      </c>
      <c r="J59" s="16" t="s">
        <v>177</v>
      </c>
      <c r="K59" s="14" t="s">
        <v>179</v>
      </c>
    </row>
    <row r="60" customFormat="false" ht="15" hidden="false" customHeight="false" outlineLevel="0" collapsed="false">
      <c r="A60" s="13" t="n">
        <v>59</v>
      </c>
      <c r="B60" s="14" t="s">
        <v>175</v>
      </c>
      <c r="C60" s="13" t="n">
        <v>3009</v>
      </c>
      <c r="D60" s="13" t="s">
        <v>44</v>
      </c>
      <c r="E60" s="14" t="s">
        <v>45</v>
      </c>
      <c r="F60" s="15" t="s">
        <v>23</v>
      </c>
      <c r="G60" s="14" t="s">
        <v>153</v>
      </c>
      <c r="H60" s="16" t="s">
        <v>47</v>
      </c>
      <c r="I60" s="13" t="n">
        <v>3010</v>
      </c>
      <c r="J60" s="16" t="s">
        <v>177</v>
      </c>
      <c r="K60" s="14" t="s">
        <v>130</v>
      </c>
    </row>
    <row r="61" customFormat="false" ht="15" hidden="false" customHeight="false" outlineLevel="0" collapsed="false">
      <c r="A61" s="13" t="n">
        <v>60</v>
      </c>
      <c r="B61" s="14" t="s">
        <v>180</v>
      </c>
      <c r="C61" s="13" t="n">
        <v>28096</v>
      </c>
      <c r="D61" s="13" t="s">
        <v>49</v>
      </c>
      <c r="E61" s="14" t="s">
        <v>45</v>
      </c>
      <c r="F61" s="15" t="s">
        <v>23</v>
      </c>
      <c r="G61" s="14" t="s">
        <v>181</v>
      </c>
      <c r="H61" s="16" t="s">
        <v>160</v>
      </c>
      <c r="I61" s="13" t="n">
        <v>8096</v>
      </c>
      <c r="J61" s="16" t="s">
        <v>182</v>
      </c>
      <c r="K61" s="14" t="s">
        <v>183</v>
      </c>
    </row>
    <row r="62" customFormat="false" ht="15" hidden="false" customHeight="false" outlineLevel="0" collapsed="false">
      <c r="A62" s="13" t="n">
        <v>61</v>
      </c>
      <c r="B62" s="14" t="s">
        <v>184</v>
      </c>
      <c r="C62" s="13" t="n">
        <v>443</v>
      </c>
      <c r="D62" s="13" t="s">
        <v>44</v>
      </c>
      <c r="E62" s="14" t="s">
        <v>45</v>
      </c>
      <c r="F62" s="18" t="s">
        <v>25</v>
      </c>
      <c r="G62" s="14" t="s">
        <v>185</v>
      </c>
      <c r="H62" s="16"/>
      <c r="I62" s="13"/>
      <c r="J62" s="16" t="s">
        <v>186</v>
      </c>
      <c r="K62" s="14"/>
    </row>
    <row r="63" customFormat="false" ht="15" hidden="false" customHeight="false" outlineLevel="0" collapsed="false">
      <c r="A63" s="13" t="n">
        <v>62</v>
      </c>
      <c r="B63" s="14" t="s">
        <v>184</v>
      </c>
      <c r="C63" s="13" t="n">
        <v>4000</v>
      </c>
      <c r="D63" s="13" t="s">
        <v>44</v>
      </c>
      <c r="E63" s="14" t="s">
        <v>45</v>
      </c>
      <c r="F63" s="15" t="s">
        <v>23</v>
      </c>
      <c r="G63" s="14" t="s">
        <v>187</v>
      </c>
      <c r="H63" s="16" t="s">
        <v>63</v>
      </c>
      <c r="I63" s="13" t="n">
        <v>9006</v>
      </c>
      <c r="J63" s="16" t="s">
        <v>186</v>
      </c>
      <c r="K63" s="14" t="s">
        <v>188</v>
      </c>
    </row>
    <row r="64" customFormat="false" ht="15" hidden="false" customHeight="false" outlineLevel="0" collapsed="false">
      <c r="A64" s="13" t="n">
        <v>63</v>
      </c>
      <c r="B64" s="14" t="s">
        <v>189</v>
      </c>
      <c r="C64" s="13" t="n">
        <v>443</v>
      </c>
      <c r="D64" s="13" t="s">
        <v>44</v>
      </c>
      <c r="E64" s="14" t="s">
        <v>45</v>
      </c>
      <c r="F64" s="18" t="s">
        <v>25</v>
      </c>
      <c r="G64" s="14" t="s">
        <v>190</v>
      </c>
      <c r="H64" s="16"/>
      <c r="I64" s="13"/>
      <c r="J64" s="16" t="s">
        <v>191</v>
      </c>
      <c r="K64" s="14"/>
    </row>
    <row r="65" customFormat="false" ht="15" hidden="false" customHeight="false" outlineLevel="0" collapsed="false">
      <c r="A65" s="13" t="n">
        <v>64</v>
      </c>
      <c r="B65" s="14" t="s">
        <v>189</v>
      </c>
      <c r="C65" s="13" t="n">
        <v>4000</v>
      </c>
      <c r="D65" s="13" t="s">
        <v>44</v>
      </c>
      <c r="E65" s="14" t="s">
        <v>45</v>
      </c>
      <c r="F65" s="15" t="s">
        <v>23</v>
      </c>
      <c r="G65" s="14" t="s">
        <v>192</v>
      </c>
      <c r="H65" s="16" t="s">
        <v>107</v>
      </c>
      <c r="I65" s="13" t="n">
        <v>4001</v>
      </c>
      <c r="J65" s="16" t="s">
        <v>191</v>
      </c>
      <c r="K65" s="14"/>
    </row>
    <row r="66" customFormat="false" ht="15" hidden="false" customHeight="false" outlineLevel="0" collapsed="false">
      <c r="A66" s="13" t="n">
        <v>65</v>
      </c>
      <c r="B66" s="14" t="s">
        <v>193</v>
      </c>
      <c r="C66" s="13" t="n">
        <v>443</v>
      </c>
      <c r="D66" s="13" t="s">
        <v>44</v>
      </c>
      <c r="E66" s="14" t="s">
        <v>45</v>
      </c>
      <c r="F66" s="15" t="s">
        <v>23</v>
      </c>
      <c r="G66" s="14" t="s">
        <v>194</v>
      </c>
      <c r="H66" s="16" t="s">
        <v>97</v>
      </c>
      <c r="I66" s="13" t="n">
        <v>8082</v>
      </c>
      <c r="J66" s="16" t="s">
        <v>195</v>
      </c>
      <c r="K66" s="14"/>
    </row>
    <row r="67" customFormat="false" ht="15" hidden="false" customHeight="false" outlineLevel="0" collapsed="false">
      <c r="A67" s="13" t="n">
        <v>66</v>
      </c>
      <c r="B67" s="14" t="s">
        <v>196</v>
      </c>
      <c r="C67" s="13" t="n">
        <v>443</v>
      </c>
      <c r="D67" s="13" t="s">
        <v>44</v>
      </c>
      <c r="E67" s="14" t="s">
        <v>45</v>
      </c>
      <c r="F67" s="18" t="s">
        <v>25</v>
      </c>
      <c r="G67" s="14" t="s">
        <v>197</v>
      </c>
      <c r="H67" s="16"/>
      <c r="I67" s="13"/>
      <c r="J67" s="16" t="s">
        <v>198</v>
      </c>
      <c r="K67" s="14"/>
    </row>
    <row r="68" customFormat="false" ht="15" hidden="false" customHeight="false" outlineLevel="0" collapsed="false">
      <c r="A68" s="13" t="n">
        <v>67</v>
      </c>
      <c r="B68" s="14" t="s">
        <v>196</v>
      </c>
      <c r="C68" s="13" t="n">
        <v>4000</v>
      </c>
      <c r="D68" s="13" t="s">
        <v>44</v>
      </c>
      <c r="E68" s="14" t="s">
        <v>45</v>
      </c>
      <c r="F68" s="15" t="s">
        <v>23</v>
      </c>
      <c r="G68" s="14" t="s">
        <v>199</v>
      </c>
      <c r="H68" s="16" t="s">
        <v>47</v>
      </c>
      <c r="I68" s="13" t="n">
        <v>9011</v>
      </c>
      <c r="J68" s="16" t="s">
        <v>198</v>
      </c>
      <c r="K68" s="14"/>
    </row>
    <row r="69" customFormat="false" ht="15" hidden="false" customHeight="false" outlineLevel="0" collapsed="false">
      <c r="A69" s="13" t="n">
        <v>68</v>
      </c>
      <c r="B69" s="14" t="s">
        <v>200</v>
      </c>
      <c r="C69" s="13" t="n">
        <v>80</v>
      </c>
      <c r="D69" s="13" t="s">
        <v>49</v>
      </c>
      <c r="E69" s="14" t="s">
        <v>201</v>
      </c>
      <c r="F69" s="18" t="s">
        <v>25</v>
      </c>
      <c r="G69" s="14" t="s">
        <v>202</v>
      </c>
      <c r="H69" s="16"/>
      <c r="I69" s="13"/>
      <c r="J69" s="16" t="s">
        <v>203</v>
      </c>
      <c r="K69" s="14" t="s">
        <v>204</v>
      </c>
    </row>
    <row r="70" customFormat="false" ht="15" hidden="false" customHeight="false" outlineLevel="0" collapsed="false">
      <c r="A70" s="13" t="n">
        <v>69</v>
      </c>
      <c r="B70" s="14" t="s">
        <v>200</v>
      </c>
      <c r="C70" s="13" t="n">
        <v>80</v>
      </c>
      <c r="D70" s="13" t="s">
        <v>49</v>
      </c>
      <c r="E70" s="14" t="s">
        <v>45</v>
      </c>
      <c r="F70" s="17" t="s">
        <v>27</v>
      </c>
      <c r="G70" s="14" t="s">
        <v>104</v>
      </c>
      <c r="H70" s="16"/>
      <c r="I70" s="13"/>
      <c r="J70" s="16" t="s">
        <v>203</v>
      </c>
      <c r="K70" s="14"/>
    </row>
    <row r="71" customFormat="false" ht="15" hidden="false" customHeight="false" outlineLevel="0" collapsed="false">
      <c r="A71" s="13" t="n">
        <v>70</v>
      </c>
      <c r="B71" s="14" t="s">
        <v>200</v>
      </c>
      <c r="C71" s="13" t="n">
        <v>443</v>
      </c>
      <c r="D71" s="13" t="s">
        <v>44</v>
      </c>
      <c r="E71" s="14" t="s">
        <v>45</v>
      </c>
      <c r="F71" s="15" t="s">
        <v>23</v>
      </c>
      <c r="G71" s="14" t="s">
        <v>205</v>
      </c>
      <c r="H71" s="16"/>
      <c r="I71" s="13"/>
      <c r="J71" s="16" t="s">
        <v>203</v>
      </c>
      <c r="K71" s="14" t="s">
        <v>206</v>
      </c>
    </row>
    <row r="72" customFormat="false" ht="15" hidden="false" customHeight="false" outlineLevel="0" collapsed="false">
      <c r="A72" s="13" t="n">
        <v>71</v>
      </c>
      <c r="B72" s="14" t="s">
        <v>200</v>
      </c>
      <c r="C72" s="13" t="n">
        <v>443</v>
      </c>
      <c r="D72" s="13" t="s">
        <v>44</v>
      </c>
      <c r="E72" s="14" t="s">
        <v>148</v>
      </c>
      <c r="F72" s="15" t="s">
        <v>23</v>
      </c>
      <c r="G72" s="14" t="s">
        <v>205</v>
      </c>
      <c r="H72" s="16"/>
      <c r="I72" s="13"/>
      <c r="J72" s="16" t="s">
        <v>203</v>
      </c>
      <c r="K72" s="14" t="s">
        <v>54</v>
      </c>
    </row>
    <row r="73" customFormat="false" ht="15" hidden="false" customHeight="false" outlineLevel="0" collapsed="false">
      <c r="A73" s="13" t="n">
        <v>72</v>
      </c>
      <c r="B73" s="14" t="s">
        <v>200</v>
      </c>
      <c r="C73" s="13" t="n">
        <v>443</v>
      </c>
      <c r="D73" s="13" t="s">
        <v>44</v>
      </c>
      <c r="E73" s="14" t="s">
        <v>61</v>
      </c>
      <c r="F73" s="15" t="s">
        <v>23</v>
      </c>
      <c r="G73" s="14" t="s">
        <v>205</v>
      </c>
      <c r="H73" s="16"/>
      <c r="I73" s="13"/>
      <c r="J73" s="16" t="s">
        <v>203</v>
      </c>
      <c r="K73" s="14" t="s">
        <v>54</v>
      </c>
    </row>
    <row r="74" customFormat="false" ht="15" hidden="false" customHeight="false" outlineLevel="0" collapsed="false">
      <c r="A74" s="13" t="n">
        <v>73</v>
      </c>
      <c r="B74" s="14" t="s">
        <v>200</v>
      </c>
      <c r="C74" s="13" t="n">
        <v>443</v>
      </c>
      <c r="D74" s="13" t="s">
        <v>44</v>
      </c>
      <c r="E74" s="14" t="s">
        <v>207</v>
      </c>
      <c r="F74" s="15" t="s">
        <v>23</v>
      </c>
      <c r="G74" s="14" t="s">
        <v>208</v>
      </c>
      <c r="H74" s="16"/>
      <c r="I74" s="13"/>
      <c r="J74" s="16" t="s">
        <v>203</v>
      </c>
      <c r="K74" s="14" t="s">
        <v>54</v>
      </c>
    </row>
    <row r="75" customFormat="false" ht="15" hidden="false" customHeight="false" outlineLevel="0" collapsed="false">
      <c r="A75" s="13" t="n">
        <v>74</v>
      </c>
      <c r="B75" s="14" t="s">
        <v>200</v>
      </c>
      <c r="C75" s="13" t="n">
        <v>443</v>
      </c>
      <c r="D75" s="13" t="s">
        <v>44</v>
      </c>
      <c r="E75" s="14" t="s">
        <v>209</v>
      </c>
      <c r="F75" s="15" t="s">
        <v>23</v>
      </c>
      <c r="G75" s="14" t="s">
        <v>210</v>
      </c>
      <c r="H75" s="16"/>
      <c r="I75" s="13"/>
      <c r="J75" s="16" t="s">
        <v>203</v>
      </c>
      <c r="K75" s="14" t="s">
        <v>54</v>
      </c>
    </row>
    <row r="76" customFormat="false" ht="15" hidden="false" customHeight="false" outlineLevel="0" collapsed="false">
      <c r="A76" s="13" t="n">
        <v>75</v>
      </c>
      <c r="B76" s="14" t="s">
        <v>200</v>
      </c>
      <c r="C76" s="13" t="n">
        <v>443</v>
      </c>
      <c r="D76" s="13" t="s">
        <v>44</v>
      </c>
      <c r="E76" s="14" t="s">
        <v>69</v>
      </c>
      <c r="F76" s="18" t="s">
        <v>25</v>
      </c>
      <c r="G76" s="14" t="s">
        <v>211</v>
      </c>
      <c r="H76" s="16"/>
      <c r="I76" s="13"/>
      <c r="J76" s="16" t="s">
        <v>203</v>
      </c>
      <c r="K76" s="14"/>
    </row>
    <row r="77" customFormat="false" ht="15" hidden="false" customHeight="false" outlineLevel="0" collapsed="false">
      <c r="A77" s="13" t="n">
        <v>76</v>
      </c>
      <c r="B77" s="14" t="s">
        <v>200</v>
      </c>
      <c r="C77" s="13" t="n">
        <v>443</v>
      </c>
      <c r="D77" s="13" t="s">
        <v>44</v>
      </c>
      <c r="E77" s="14" t="s">
        <v>212</v>
      </c>
      <c r="F77" s="18" t="s">
        <v>25</v>
      </c>
      <c r="G77" s="14" t="s">
        <v>211</v>
      </c>
      <c r="H77" s="16"/>
      <c r="I77" s="13"/>
      <c r="J77" s="16" t="s">
        <v>203</v>
      </c>
      <c r="K77" s="14"/>
    </row>
    <row r="78" customFormat="false" ht="15" hidden="false" customHeight="false" outlineLevel="0" collapsed="false">
      <c r="A78" s="13" t="n">
        <v>77</v>
      </c>
      <c r="B78" s="14" t="s">
        <v>200</v>
      </c>
      <c r="C78" s="13" t="n">
        <v>443</v>
      </c>
      <c r="D78" s="13" t="s">
        <v>44</v>
      </c>
      <c r="E78" s="14" t="s">
        <v>213</v>
      </c>
      <c r="F78" s="18" t="s">
        <v>25</v>
      </c>
      <c r="G78" s="14" t="s">
        <v>211</v>
      </c>
      <c r="H78" s="16"/>
      <c r="I78" s="13"/>
      <c r="J78" s="16" t="s">
        <v>203</v>
      </c>
      <c r="K78" s="14"/>
    </row>
    <row r="79" customFormat="false" ht="23.85" hidden="false" customHeight="false" outlineLevel="0" collapsed="false">
      <c r="A79" s="13" t="n">
        <v>78</v>
      </c>
      <c r="B79" s="14" t="s">
        <v>200</v>
      </c>
      <c r="C79" s="13" t="n">
        <v>443</v>
      </c>
      <c r="D79" s="13" t="s">
        <v>44</v>
      </c>
      <c r="E79" s="14" t="s">
        <v>214</v>
      </c>
      <c r="F79" s="17" t="s">
        <v>27</v>
      </c>
      <c r="G79" s="14" t="s">
        <v>215</v>
      </c>
      <c r="H79" s="16"/>
      <c r="I79" s="13"/>
      <c r="J79" s="16" t="s">
        <v>203</v>
      </c>
      <c r="K79" s="14"/>
    </row>
    <row r="80" customFormat="false" ht="15" hidden="false" customHeight="false" outlineLevel="0" collapsed="false">
      <c r="A80" s="13" t="n">
        <v>79</v>
      </c>
      <c r="B80" s="14" t="s">
        <v>216</v>
      </c>
      <c r="C80" s="13" t="n">
        <v>443</v>
      </c>
      <c r="D80" s="13" t="s">
        <v>44</v>
      </c>
      <c r="E80" s="14" t="s">
        <v>45</v>
      </c>
      <c r="F80" s="18" t="s">
        <v>25</v>
      </c>
      <c r="G80" s="14" t="s">
        <v>217</v>
      </c>
      <c r="H80" s="16"/>
      <c r="I80" s="13"/>
      <c r="J80" s="16" t="s">
        <v>218</v>
      </c>
      <c r="K80" s="14"/>
    </row>
    <row r="81" customFormat="false" ht="15" hidden="false" customHeight="false" outlineLevel="0" collapsed="false">
      <c r="A81" s="13" t="n">
        <v>80</v>
      </c>
      <c r="B81" s="14" t="s">
        <v>216</v>
      </c>
      <c r="C81" s="13" t="n">
        <v>443</v>
      </c>
      <c r="D81" s="13" t="s">
        <v>44</v>
      </c>
      <c r="E81" s="14" t="s">
        <v>61</v>
      </c>
      <c r="F81" s="15" t="s">
        <v>23</v>
      </c>
      <c r="G81" s="14" t="s">
        <v>219</v>
      </c>
      <c r="H81" s="16" t="s">
        <v>63</v>
      </c>
      <c r="I81" s="13" t="n">
        <v>8020</v>
      </c>
      <c r="J81" s="16" t="s">
        <v>218</v>
      </c>
      <c r="K81" s="14" t="s">
        <v>220</v>
      </c>
    </row>
    <row r="82" customFormat="false" ht="15" hidden="false" customHeight="false" outlineLevel="0" collapsed="false">
      <c r="A82" s="13" t="n">
        <v>81</v>
      </c>
      <c r="B82" s="14" t="s">
        <v>216</v>
      </c>
      <c r="C82" s="13" t="n">
        <v>443</v>
      </c>
      <c r="D82" s="13" t="s">
        <v>44</v>
      </c>
      <c r="E82" s="14" t="s">
        <v>221</v>
      </c>
      <c r="F82" s="15" t="s">
        <v>23</v>
      </c>
      <c r="G82" s="14" t="s">
        <v>222</v>
      </c>
      <c r="H82" s="16" t="s">
        <v>63</v>
      </c>
      <c r="I82" s="13" t="n">
        <v>8080</v>
      </c>
      <c r="J82" s="16" t="s">
        <v>218</v>
      </c>
      <c r="K82" s="14" t="s">
        <v>223</v>
      </c>
    </row>
    <row r="83" customFormat="false" ht="15" hidden="false" customHeight="false" outlineLevel="0" collapsed="false">
      <c r="A83" s="13" t="n">
        <v>82</v>
      </c>
      <c r="B83" s="14" t="s">
        <v>216</v>
      </c>
      <c r="C83" s="13" t="n">
        <v>443</v>
      </c>
      <c r="D83" s="13" t="s">
        <v>44</v>
      </c>
      <c r="E83" s="14" t="s">
        <v>224</v>
      </c>
      <c r="F83" s="15" t="s">
        <v>23</v>
      </c>
      <c r="G83" s="14" t="s">
        <v>225</v>
      </c>
      <c r="H83" s="16" t="s">
        <v>63</v>
      </c>
      <c r="I83" s="13" t="n">
        <v>9000</v>
      </c>
      <c r="J83" s="16" t="s">
        <v>218</v>
      </c>
      <c r="K83" s="14" t="s">
        <v>226</v>
      </c>
    </row>
    <row r="84" customFormat="false" ht="15" hidden="false" customHeight="false" outlineLevel="0" collapsed="false">
      <c r="A84" s="13" t="n">
        <v>83</v>
      </c>
      <c r="B84" s="14" t="s">
        <v>216</v>
      </c>
      <c r="C84" s="13" t="n">
        <v>443</v>
      </c>
      <c r="D84" s="13" t="s">
        <v>44</v>
      </c>
      <c r="E84" s="14" t="s">
        <v>227</v>
      </c>
      <c r="F84" s="15" t="s">
        <v>23</v>
      </c>
      <c r="G84" s="14" t="s">
        <v>228</v>
      </c>
      <c r="H84" s="16" t="s">
        <v>63</v>
      </c>
      <c r="I84" s="13" t="n">
        <v>7000</v>
      </c>
      <c r="J84" s="16" t="s">
        <v>218</v>
      </c>
      <c r="K84" s="14" t="s">
        <v>229</v>
      </c>
    </row>
    <row r="85" customFormat="false" ht="15" hidden="false" customHeight="false" outlineLevel="0" collapsed="false">
      <c r="A85" s="13" t="n">
        <v>84</v>
      </c>
      <c r="B85" s="14" t="s">
        <v>230</v>
      </c>
      <c r="C85" s="13" t="n">
        <v>10080</v>
      </c>
      <c r="D85" s="13" t="s">
        <v>49</v>
      </c>
      <c r="E85" s="14" t="s">
        <v>45</v>
      </c>
      <c r="F85" s="18" t="s">
        <v>25</v>
      </c>
      <c r="G85" s="14" t="s">
        <v>231</v>
      </c>
      <c r="H85" s="16"/>
      <c r="I85" s="13"/>
      <c r="J85" s="16" t="s">
        <v>232</v>
      </c>
      <c r="K85" s="14" t="s">
        <v>233</v>
      </c>
    </row>
    <row r="86" customFormat="false" ht="15" hidden="false" customHeight="false" outlineLevel="0" collapsed="false">
      <c r="A86" s="13" t="n">
        <v>85</v>
      </c>
      <c r="B86" s="14" t="s">
        <v>230</v>
      </c>
      <c r="C86" s="13" t="n">
        <v>10080</v>
      </c>
      <c r="D86" s="13" t="s">
        <v>49</v>
      </c>
      <c r="E86" s="14" t="s">
        <v>61</v>
      </c>
      <c r="F86" s="15" t="s">
        <v>23</v>
      </c>
      <c r="G86" s="14" t="s">
        <v>234</v>
      </c>
      <c r="H86" s="16" t="s">
        <v>63</v>
      </c>
      <c r="I86" s="13" t="n">
        <v>8078</v>
      </c>
      <c r="J86" s="16" t="s">
        <v>232</v>
      </c>
      <c r="K86" s="14"/>
    </row>
    <row r="87" customFormat="false" ht="15" hidden="false" customHeight="false" outlineLevel="0" collapsed="false">
      <c r="A87" s="13" t="n">
        <v>86</v>
      </c>
      <c r="B87" s="14" t="s">
        <v>230</v>
      </c>
      <c r="C87" s="13" t="n">
        <v>10080</v>
      </c>
      <c r="D87" s="13" t="s">
        <v>49</v>
      </c>
      <c r="E87" s="14" t="s">
        <v>235</v>
      </c>
      <c r="F87" s="15" t="s">
        <v>23</v>
      </c>
      <c r="G87" s="14" t="s">
        <v>236</v>
      </c>
      <c r="H87" s="16" t="s">
        <v>63</v>
      </c>
      <c r="I87" s="13" t="n">
        <v>8088</v>
      </c>
      <c r="J87" s="16" t="s">
        <v>232</v>
      </c>
      <c r="K87" s="14"/>
    </row>
    <row r="88" customFormat="false" ht="15" hidden="false" customHeight="false" outlineLevel="0" collapsed="false">
      <c r="A88" s="13" t="n">
        <v>87</v>
      </c>
      <c r="B88" s="14" t="s">
        <v>230</v>
      </c>
      <c r="C88" s="13" t="n">
        <v>10080</v>
      </c>
      <c r="D88" s="13" t="s">
        <v>49</v>
      </c>
      <c r="E88" s="14" t="s">
        <v>237</v>
      </c>
      <c r="F88" s="15" t="s">
        <v>23</v>
      </c>
      <c r="G88" s="14" t="s">
        <v>238</v>
      </c>
      <c r="H88" s="16" t="s">
        <v>47</v>
      </c>
      <c r="I88" s="13" t="n">
        <v>8333</v>
      </c>
      <c r="J88" s="16" t="s">
        <v>232</v>
      </c>
      <c r="K88" s="14" t="s">
        <v>239</v>
      </c>
    </row>
    <row r="89" customFormat="false" ht="15" hidden="false" customHeight="false" outlineLevel="0" collapsed="false">
      <c r="A89" s="13" t="n">
        <v>88</v>
      </c>
      <c r="B89" s="14" t="s">
        <v>240</v>
      </c>
      <c r="C89" s="13" t="n">
        <v>80</v>
      </c>
      <c r="D89" s="13" t="s">
        <v>49</v>
      </c>
      <c r="E89" s="14" t="s">
        <v>45</v>
      </c>
      <c r="F89" s="17" t="s">
        <v>27</v>
      </c>
      <c r="G89" s="14" t="s">
        <v>241</v>
      </c>
      <c r="H89" s="16"/>
      <c r="I89" s="13"/>
      <c r="J89" s="16" t="s">
        <v>242</v>
      </c>
      <c r="K89" s="14"/>
    </row>
    <row r="90" customFormat="false" ht="15" hidden="false" customHeight="false" outlineLevel="0" collapsed="false">
      <c r="A90" s="13" t="n">
        <v>89</v>
      </c>
      <c r="B90" s="14" t="s">
        <v>243</v>
      </c>
      <c r="C90" s="13" t="n">
        <v>80</v>
      </c>
      <c r="D90" s="13" t="s">
        <v>49</v>
      </c>
      <c r="E90" s="14" t="s">
        <v>45</v>
      </c>
      <c r="F90" s="17" t="s">
        <v>27</v>
      </c>
      <c r="G90" s="14" t="s">
        <v>241</v>
      </c>
      <c r="H90" s="16"/>
      <c r="I90" s="13"/>
      <c r="J90" s="16" t="s">
        <v>242</v>
      </c>
      <c r="K90" s="14" t="s">
        <v>244</v>
      </c>
    </row>
    <row r="91" customFormat="false" ht="15" hidden="false" customHeight="false" outlineLevel="0" collapsed="false">
      <c r="A91" s="13" t="n">
        <v>90</v>
      </c>
      <c r="B91" s="14" t="s">
        <v>245</v>
      </c>
      <c r="C91" s="13" t="n">
        <v>10180</v>
      </c>
      <c r="D91" s="13" t="s">
        <v>49</v>
      </c>
      <c r="E91" s="14" t="s">
        <v>61</v>
      </c>
      <c r="F91" s="15" t="s">
        <v>23</v>
      </c>
      <c r="G91" s="14" t="s">
        <v>225</v>
      </c>
      <c r="H91" s="16" t="s">
        <v>63</v>
      </c>
      <c r="I91" s="13" t="n">
        <v>9000</v>
      </c>
      <c r="J91" s="16" t="s">
        <v>242</v>
      </c>
      <c r="K91" s="14" t="s">
        <v>233</v>
      </c>
    </row>
    <row r="92" customFormat="false" ht="15" hidden="false" customHeight="false" outlineLevel="0" collapsed="false">
      <c r="A92" s="13" t="n">
        <v>91</v>
      </c>
      <c r="B92" s="14" t="s">
        <v>245</v>
      </c>
      <c r="C92" s="13" t="n">
        <v>10180</v>
      </c>
      <c r="D92" s="13" t="s">
        <v>49</v>
      </c>
      <c r="E92" s="14" t="s">
        <v>235</v>
      </c>
      <c r="F92" s="15" t="s">
        <v>23</v>
      </c>
      <c r="G92" s="14" t="s">
        <v>246</v>
      </c>
      <c r="H92" s="16" t="s">
        <v>63</v>
      </c>
      <c r="I92" s="13" t="n">
        <v>9001</v>
      </c>
      <c r="J92" s="16" t="s">
        <v>242</v>
      </c>
      <c r="K92" s="14"/>
    </row>
    <row r="93" customFormat="false" ht="15" hidden="false" customHeight="false" outlineLevel="0" collapsed="false">
      <c r="A93" s="13" t="n">
        <v>92</v>
      </c>
      <c r="B93" s="14" t="s">
        <v>245</v>
      </c>
      <c r="C93" s="13" t="n">
        <v>10180</v>
      </c>
      <c r="D93" s="13" t="s">
        <v>49</v>
      </c>
      <c r="E93" s="14" t="s">
        <v>237</v>
      </c>
      <c r="F93" s="15" t="s">
        <v>23</v>
      </c>
      <c r="G93" s="14" t="s">
        <v>238</v>
      </c>
      <c r="H93" s="16" t="s">
        <v>47</v>
      </c>
      <c r="I93" s="13" t="n">
        <v>8333</v>
      </c>
      <c r="J93" s="16" t="s">
        <v>242</v>
      </c>
      <c r="K93" s="14" t="s">
        <v>247</v>
      </c>
    </row>
    <row r="94" customFormat="false" ht="15" hidden="false" customHeight="false" outlineLevel="0" collapsed="false">
      <c r="A94" s="13" t="n">
        <v>93</v>
      </c>
      <c r="B94" s="14" t="s">
        <v>245</v>
      </c>
      <c r="C94" s="13" t="n">
        <v>10180</v>
      </c>
      <c r="D94" s="13" t="s">
        <v>49</v>
      </c>
      <c r="E94" s="14" t="s">
        <v>45</v>
      </c>
      <c r="F94" s="18" t="s">
        <v>25</v>
      </c>
      <c r="G94" s="14" t="s">
        <v>248</v>
      </c>
      <c r="H94" s="16"/>
      <c r="I94" s="13"/>
      <c r="J94" s="16" t="s">
        <v>242</v>
      </c>
      <c r="K94" s="14"/>
    </row>
    <row r="95" customFormat="false" ht="15" hidden="false" customHeight="false" outlineLevel="0" collapsed="false">
      <c r="A95" s="13" t="n">
        <v>94</v>
      </c>
      <c r="B95" s="14" t="s">
        <v>249</v>
      </c>
      <c r="C95" s="13" t="n">
        <v>443</v>
      </c>
      <c r="D95" s="13" t="s">
        <v>44</v>
      </c>
      <c r="E95" s="14" t="s">
        <v>45</v>
      </c>
      <c r="F95" s="18" t="s">
        <v>25</v>
      </c>
      <c r="G95" s="14" t="s">
        <v>250</v>
      </c>
      <c r="H95" s="16"/>
      <c r="I95" s="13"/>
      <c r="J95" s="16" t="s">
        <v>251</v>
      </c>
      <c r="K95" s="14"/>
    </row>
    <row r="96" customFormat="false" ht="15" hidden="false" customHeight="false" outlineLevel="0" collapsed="false">
      <c r="A96" s="13" t="n">
        <v>95</v>
      </c>
      <c r="B96" s="14" t="s">
        <v>249</v>
      </c>
      <c r="C96" s="13" t="n">
        <v>3009</v>
      </c>
      <c r="D96" s="13" t="s">
        <v>44</v>
      </c>
      <c r="E96" s="14" t="s">
        <v>45</v>
      </c>
      <c r="F96" s="15" t="s">
        <v>23</v>
      </c>
      <c r="G96" s="14" t="s">
        <v>252</v>
      </c>
      <c r="H96" s="16" t="s">
        <v>107</v>
      </c>
      <c r="I96" s="13" t="n">
        <v>3011</v>
      </c>
      <c r="J96" s="16" t="s">
        <v>251</v>
      </c>
      <c r="K96" s="14" t="s">
        <v>130</v>
      </c>
    </row>
    <row r="97" customFormat="false" ht="15" hidden="false" customHeight="false" outlineLevel="0" collapsed="false">
      <c r="A97" s="13" t="n">
        <v>96</v>
      </c>
      <c r="B97" s="14" t="s">
        <v>63</v>
      </c>
      <c r="C97" s="13" t="n">
        <v>8080</v>
      </c>
      <c r="D97" s="13" t="s">
        <v>49</v>
      </c>
      <c r="E97" s="14" t="s">
        <v>253</v>
      </c>
      <c r="F97" s="19" t="s">
        <v>29</v>
      </c>
      <c r="G97" s="14" t="s">
        <v>254</v>
      </c>
      <c r="H97" s="16"/>
      <c r="I97" s="13"/>
      <c r="J97" s="16" t="s">
        <v>255</v>
      </c>
      <c r="K97" s="14" t="s">
        <v>256</v>
      </c>
    </row>
    <row r="98" customFormat="false" ht="15" hidden="false" customHeight="false" outlineLevel="0" collapsed="false">
      <c r="A98" s="13" t="n">
        <v>97</v>
      </c>
      <c r="B98" s="14" t="s">
        <v>257</v>
      </c>
      <c r="C98" s="13" t="n">
        <v>80</v>
      </c>
      <c r="D98" s="13" t="s">
        <v>49</v>
      </c>
      <c r="E98" s="14" t="s">
        <v>45</v>
      </c>
      <c r="F98" s="17" t="s">
        <v>27</v>
      </c>
      <c r="G98" s="14" t="s">
        <v>104</v>
      </c>
      <c r="H98" s="16"/>
      <c r="I98" s="13"/>
      <c r="J98" s="16" t="s">
        <v>258</v>
      </c>
      <c r="K98" s="14"/>
    </row>
    <row r="99" customFormat="false" ht="15" hidden="false" customHeight="false" outlineLevel="0" collapsed="false">
      <c r="A99" s="13" t="n">
        <v>98</v>
      </c>
      <c r="B99" s="14" t="s">
        <v>257</v>
      </c>
      <c r="C99" s="13" t="n">
        <v>443</v>
      </c>
      <c r="D99" s="13" t="s">
        <v>44</v>
      </c>
      <c r="E99" s="14" t="s">
        <v>45</v>
      </c>
      <c r="F99" s="15" t="s">
        <v>23</v>
      </c>
      <c r="G99" s="14" t="s">
        <v>259</v>
      </c>
      <c r="H99" s="16" t="s">
        <v>47</v>
      </c>
      <c r="I99" s="13" t="n">
        <v>8989</v>
      </c>
      <c r="J99" s="16" t="s">
        <v>258</v>
      </c>
      <c r="K99" s="14" t="s">
        <v>116</v>
      </c>
    </row>
    <row r="100" customFormat="false" ht="15" hidden="false" customHeight="false" outlineLevel="0" collapsed="false">
      <c r="A100" s="13" t="n">
        <v>99</v>
      </c>
      <c r="B100" s="14" t="s">
        <v>260</v>
      </c>
      <c r="C100" s="13" t="n">
        <v>443</v>
      </c>
      <c r="D100" s="13" t="s">
        <v>44</v>
      </c>
      <c r="E100" s="14" t="s">
        <v>45</v>
      </c>
      <c r="F100" s="15" t="s">
        <v>23</v>
      </c>
      <c r="G100" s="14" t="s">
        <v>261</v>
      </c>
      <c r="H100" s="16" t="s">
        <v>262</v>
      </c>
      <c r="I100" s="13" t="n">
        <v>8096</v>
      </c>
      <c r="J100" s="16" t="s">
        <v>263</v>
      </c>
      <c r="K100" s="14" t="s">
        <v>264</v>
      </c>
    </row>
    <row r="101" customFormat="false" ht="15" hidden="false" customHeight="false" outlineLevel="0" collapsed="false">
      <c r="A101" s="13" t="n">
        <v>100</v>
      </c>
      <c r="B101" s="14" t="s">
        <v>260</v>
      </c>
      <c r="C101" s="13" t="n">
        <v>443</v>
      </c>
      <c r="D101" s="13" t="s">
        <v>44</v>
      </c>
      <c r="E101" s="14" t="s">
        <v>265</v>
      </c>
      <c r="F101" s="15" t="s">
        <v>23</v>
      </c>
      <c r="G101" s="14" t="s">
        <v>261</v>
      </c>
      <c r="H101" s="16" t="s">
        <v>262</v>
      </c>
      <c r="I101" s="13" t="n">
        <v>8096</v>
      </c>
      <c r="J101" s="16" t="s">
        <v>263</v>
      </c>
      <c r="K101" s="14" t="s">
        <v>266</v>
      </c>
    </row>
    <row r="102" customFormat="false" ht="15" hidden="false" customHeight="false" outlineLevel="0" collapsed="false">
      <c r="A102" s="13" t="n">
        <v>101</v>
      </c>
      <c r="B102" s="14" t="s">
        <v>267</v>
      </c>
      <c r="C102" s="13" t="n">
        <v>80</v>
      </c>
      <c r="D102" s="13" t="s">
        <v>49</v>
      </c>
      <c r="E102" s="14" t="s">
        <v>45</v>
      </c>
      <c r="F102" s="17" t="s">
        <v>27</v>
      </c>
      <c r="G102" s="14" t="s">
        <v>104</v>
      </c>
      <c r="H102" s="16"/>
      <c r="I102" s="13"/>
      <c r="J102" s="16" t="s">
        <v>268</v>
      </c>
      <c r="K102" s="14"/>
    </row>
    <row r="103" customFormat="false" ht="23.85" hidden="false" customHeight="false" outlineLevel="0" collapsed="false">
      <c r="A103" s="13" t="n">
        <v>102</v>
      </c>
      <c r="B103" s="14" t="s">
        <v>267</v>
      </c>
      <c r="C103" s="13" t="n">
        <v>443</v>
      </c>
      <c r="D103" s="13" t="s">
        <v>44</v>
      </c>
      <c r="E103" s="14" t="s">
        <v>45</v>
      </c>
      <c r="F103" s="18" t="s">
        <v>25</v>
      </c>
      <c r="G103" s="14" t="s">
        <v>269</v>
      </c>
      <c r="H103" s="16"/>
      <c r="I103" s="13"/>
      <c r="J103" s="16" t="s">
        <v>268</v>
      </c>
      <c r="K103" s="14" t="s">
        <v>270</v>
      </c>
    </row>
    <row r="104" customFormat="false" ht="15" hidden="false" customHeight="false" outlineLevel="0" collapsed="false">
      <c r="A104" s="13" t="n">
        <v>103</v>
      </c>
      <c r="B104" s="14" t="s">
        <v>271</v>
      </c>
      <c r="C104" s="13" t="n">
        <v>443</v>
      </c>
      <c r="D104" s="13" t="s">
        <v>44</v>
      </c>
      <c r="E104" s="14" t="s">
        <v>45</v>
      </c>
      <c r="F104" s="18" t="s">
        <v>25</v>
      </c>
      <c r="G104" s="14" t="s">
        <v>272</v>
      </c>
      <c r="H104" s="16"/>
      <c r="I104" s="13"/>
      <c r="J104" s="16" t="s">
        <v>273</v>
      </c>
      <c r="K104" s="14"/>
    </row>
    <row r="105" customFormat="false" ht="15" hidden="false" customHeight="false" outlineLevel="0" collapsed="false">
      <c r="A105" s="13" t="n">
        <v>104</v>
      </c>
      <c r="B105" s="14" t="s">
        <v>271</v>
      </c>
      <c r="C105" s="13" t="n">
        <v>4020</v>
      </c>
      <c r="D105" s="13" t="s">
        <v>44</v>
      </c>
      <c r="E105" s="14" t="s">
        <v>45</v>
      </c>
      <c r="F105" s="15" t="s">
        <v>23</v>
      </c>
      <c r="G105" s="14" t="s">
        <v>274</v>
      </c>
      <c r="H105" s="16" t="s">
        <v>63</v>
      </c>
      <c r="I105" s="13" t="n">
        <v>9020</v>
      </c>
      <c r="J105" s="16" t="s">
        <v>273</v>
      </c>
      <c r="K105" s="14"/>
    </row>
    <row r="106" customFormat="false" ht="15" hidden="false" customHeight="false" outlineLevel="0" collapsed="false">
      <c r="A106" s="13" t="n">
        <v>105</v>
      </c>
      <c r="B106" s="14" t="s">
        <v>275</v>
      </c>
      <c r="C106" s="13" t="n">
        <v>80</v>
      </c>
      <c r="D106" s="13" t="s">
        <v>49</v>
      </c>
      <c r="E106" s="14" t="s">
        <v>45</v>
      </c>
      <c r="F106" s="17" t="s">
        <v>27</v>
      </c>
      <c r="G106" s="14" t="s">
        <v>104</v>
      </c>
      <c r="H106" s="16"/>
      <c r="I106" s="13"/>
      <c r="J106" s="16" t="s">
        <v>276</v>
      </c>
      <c r="K106" s="14" t="s">
        <v>277</v>
      </c>
    </row>
    <row r="107" customFormat="false" ht="15" hidden="false" customHeight="false" outlineLevel="0" collapsed="false">
      <c r="A107" s="13" t="n">
        <v>106</v>
      </c>
      <c r="B107" s="14" t="s">
        <v>278</v>
      </c>
      <c r="C107" s="13" t="s">
        <v>279</v>
      </c>
      <c r="D107" s="13" t="s">
        <v>49</v>
      </c>
      <c r="E107" s="14" t="s">
        <v>45</v>
      </c>
      <c r="F107" s="18" t="s">
        <v>25</v>
      </c>
      <c r="G107" s="14" t="s">
        <v>202</v>
      </c>
      <c r="H107" s="16"/>
      <c r="I107" s="13"/>
      <c r="J107" s="16" t="s">
        <v>276</v>
      </c>
      <c r="K107" s="14" t="s">
        <v>280</v>
      </c>
    </row>
  </sheetData>
  <autoFilter ref="A1:K1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80"/>
    <col collapsed="false" customWidth="true" hidden="false" outlineLevel="0" max="5" min="5" style="0" width="14"/>
    <col collapsed="false" customWidth="true" hidden="false" outlineLevel="0" max="6" min="6" style="0" width="42"/>
  </cols>
  <sheetData>
    <row r="1" customFormat="false" ht="30" hidden="false" customHeight="true" outlineLevel="0" collapsed="false">
      <c r="A1" s="12" t="s">
        <v>34</v>
      </c>
      <c r="B1" s="12" t="s">
        <v>281</v>
      </c>
      <c r="C1" s="12" t="s">
        <v>35</v>
      </c>
      <c r="D1" s="12" t="s">
        <v>282</v>
      </c>
      <c r="E1" s="12" t="s">
        <v>283</v>
      </c>
      <c r="F1" s="12" t="s">
        <v>284</v>
      </c>
    </row>
    <row r="2" customFormat="false" ht="46.25" hidden="false" customHeight="false" outlineLevel="0" collapsed="false">
      <c r="A2" s="13" t="n">
        <v>80</v>
      </c>
      <c r="B2" s="13" t="s">
        <v>49</v>
      </c>
      <c r="C2" s="13" t="s">
        <v>49</v>
      </c>
      <c r="D2" s="14" t="s">
        <v>285</v>
      </c>
      <c r="E2" s="13" t="n">
        <f aca="false">COUNTIF('Domain Map'!$C$2:$C$107,A2)</f>
        <v>15</v>
      </c>
      <c r="F2" s="14" t="s">
        <v>286</v>
      </c>
    </row>
    <row r="3" customFormat="false" ht="91" hidden="false" customHeight="false" outlineLevel="0" collapsed="false">
      <c r="A3" s="13" t="n">
        <v>443</v>
      </c>
      <c r="B3" s="13" t="s">
        <v>49</v>
      </c>
      <c r="C3" s="13" t="s">
        <v>44</v>
      </c>
      <c r="D3" s="14" t="s">
        <v>287</v>
      </c>
      <c r="E3" s="13" t="n">
        <f aca="false">COUNTIF('Domain Map'!$C$2:$C$107,A3)</f>
        <v>64</v>
      </c>
      <c r="F3" s="14" t="s">
        <v>288</v>
      </c>
    </row>
    <row r="4" customFormat="false" ht="15" hidden="false" customHeight="false" outlineLevel="0" collapsed="false">
      <c r="A4" s="13" t="n">
        <v>3009</v>
      </c>
      <c r="B4" s="13" t="s">
        <v>49</v>
      </c>
      <c r="C4" s="13" t="s">
        <v>44</v>
      </c>
      <c r="D4" s="14" t="s">
        <v>289</v>
      </c>
      <c r="E4" s="13" t="n">
        <f aca="false">COUNTIF('Domain Map'!$C$2:$C$107,A4)</f>
        <v>3</v>
      </c>
      <c r="F4" s="14" t="s">
        <v>290</v>
      </c>
    </row>
    <row r="5" customFormat="false" ht="15" hidden="false" customHeight="false" outlineLevel="0" collapsed="false">
      <c r="A5" s="13" t="n">
        <v>3021</v>
      </c>
      <c r="B5" s="13" t="s">
        <v>49</v>
      </c>
      <c r="C5" s="13" t="s">
        <v>44</v>
      </c>
      <c r="D5" s="14" t="s">
        <v>122</v>
      </c>
      <c r="E5" s="13" t="n">
        <f aca="false">COUNTIF('Domain Map'!$C$2:$C$107,A5)</f>
        <v>1</v>
      </c>
      <c r="F5" s="14" t="s">
        <v>291</v>
      </c>
    </row>
    <row r="6" customFormat="false" ht="15" hidden="false" customHeight="false" outlineLevel="0" collapsed="false">
      <c r="A6" s="13" t="n">
        <v>3022</v>
      </c>
      <c r="B6" s="13" t="s">
        <v>49</v>
      </c>
      <c r="C6" s="13" t="s">
        <v>44</v>
      </c>
      <c r="D6" s="14" t="s">
        <v>122</v>
      </c>
      <c r="E6" s="13" t="n">
        <f aca="false">COUNTIF('Domain Map'!$C$2:$C$107,A6)</f>
        <v>1</v>
      </c>
      <c r="F6" s="14" t="s">
        <v>292</v>
      </c>
    </row>
    <row r="7" customFormat="false" ht="15" hidden="false" customHeight="false" outlineLevel="0" collapsed="false">
      <c r="A7" s="13" t="n">
        <v>4000</v>
      </c>
      <c r="B7" s="13" t="s">
        <v>49</v>
      </c>
      <c r="C7" s="13" t="s">
        <v>44</v>
      </c>
      <c r="D7" s="14" t="s">
        <v>293</v>
      </c>
      <c r="E7" s="13" t="n">
        <f aca="false">COUNTIF('Domain Map'!$C$2:$C$107,A7)</f>
        <v>3</v>
      </c>
      <c r="F7" s="14" t="s">
        <v>294</v>
      </c>
    </row>
    <row r="8" customFormat="false" ht="15" hidden="false" customHeight="false" outlineLevel="0" collapsed="false">
      <c r="A8" s="13" t="n">
        <v>4020</v>
      </c>
      <c r="B8" s="13" t="s">
        <v>49</v>
      </c>
      <c r="C8" s="13" t="s">
        <v>44</v>
      </c>
      <c r="D8" s="14" t="s">
        <v>271</v>
      </c>
      <c r="E8" s="13" t="n">
        <f aca="false">COUNTIF('Domain Map'!$C$2:$C$107,A8)</f>
        <v>1</v>
      </c>
      <c r="F8" s="14" t="s">
        <v>295</v>
      </c>
    </row>
    <row r="9" customFormat="false" ht="15" hidden="false" customHeight="false" outlineLevel="0" collapsed="false">
      <c r="A9" s="13" t="n">
        <v>8080</v>
      </c>
      <c r="B9" s="13" t="s">
        <v>49</v>
      </c>
      <c r="C9" s="13" t="s">
        <v>49</v>
      </c>
      <c r="D9" s="14" t="s">
        <v>63</v>
      </c>
      <c r="E9" s="13" t="n">
        <f aca="false">COUNTIF('Domain Map'!$C$2:$C$107,A9)</f>
        <v>1</v>
      </c>
      <c r="F9" s="14" t="s">
        <v>296</v>
      </c>
    </row>
    <row r="10" customFormat="false" ht="15" hidden="false" customHeight="false" outlineLevel="0" collapsed="false">
      <c r="A10" s="13" t="n">
        <v>10080</v>
      </c>
      <c r="B10" s="13" t="s">
        <v>49</v>
      </c>
      <c r="C10" s="13" t="s">
        <v>49</v>
      </c>
      <c r="D10" s="14" t="s">
        <v>230</v>
      </c>
      <c r="E10" s="13" t="n">
        <f aca="false">COUNTIF('Domain Map'!$C$2:$C$107,A10)</f>
        <v>4</v>
      </c>
      <c r="F10" s="14" t="s">
        <v>297</v>
      </c>
    </row>
    <row r="11" customFormat="false" ht="15" hidden="false" customHeight="false" outlineLevel="0" collapsed="false">
      <c r="A11" s="13" t="n">
        <v>10081</v>
      </c>
      <c r="B11" s="13" t="s">
        <v>49</v>
      </c>
      <c r="C11" s="13" t="s">
        <v>49</v>
      </c>
      <c r="D11" s="14" t="s">
        <v>60</v>
      </c>
      <c r="E11" s="13" t="n">
        <f aca="false">COUNTIF('Domain Map'!$C$2:$C$107,A11)</f>
        <v>6</v>
      </c>
      <c r="F11" s="14" t="s">
        <v>298</v>
      </c>
    </row>
    <row r="12" customFormat="false" ht="15" hidden="false" customHeight="false" outlineLevel="0" collapsed="false">
      <c r="A12" s="13" t="n">
        <v>10180</v>
      </c>
      <c r="B12" s="13" t="s">
        <v>49</v>
      </c>
      <c r="C12" s="13" t="s">
        <v>49</v>
      </c>
      <c r="D12" s="14" t="s">
        <v>245</v>
      </c>
      <c r="E12" s="13" t="n">
        <f aca="false">COUNTIF('Domain Map'!$C$2:$C$107,A12)</f>
        <v>4</v>
      </c>
      <c r="F12" s="14" t="s">
        <v>299</v>
      </c>
    </row>
    <row r="13" customFormat="false" ht="15" hidden="false" customHeight="false" outlineLevel="0" collapsed="false">
      <c r="A13" s="13" t="n">
        <v>10181</v>
      </c>
      <c r="B13" s="13" t="s">
        <v>49</v>
      </c>
      <c r="C13" s="13" t="s">
        <v>49</v>
      </c>
      <c r="D13" s="14" t="s">
        <v>56</v>
      </c>
      <c r="E13" s="13" t="n">
        <f aca="false">COUNTIF('Domain Map'!$C$2:$C$107,A13)</f>
        <v>1</v>
      </c>
      <c r="F13" s="14" t="s">
        <v>300</v>
      </c>
    </row>
    <row r="14" customFormat="false" ht="15" hidden="false" customHeight="false" outlineLevel="0" collapsed="false">
      <c r="A14" s="13" t="n">
        <v>28096</v>
      </c>
      <c r="B14" s="13" t="s">
        <v>49</v>
      </c>
      <c r="C14" s="13" t="s">
        <v>49</v>
      </c>
      <c r="D14" s="14" t="s">
        <v>180</v>
      </c>
      <c r="E14" s="13" t="n">
        <f aca="false">COUNTIF('Domain Map'!$C$2:$C$107,A14)</f>
        <v>1</v>
      </c>
      <c r="F14" s="14" t="s">
        <v>301</v>
      </c>
    </row>
    <row r="15" customFormat="false" ht="23.85" hidden="false" customHeight="false" outlineLevel="0" collapsed="false">
      <c r="A15" s="20" t="n">
        <v>7001</v>
      </c>
      <c r="B15" s="20" t="s">
        <v>302</v>
      </c>
      <c r="C15" s="20" t="s">
        <v>303</v>
      </c>
      <c r="D15" s="21" t="s">
        <v>304</v>
      </c>
      <c r="E15" s="20" t="s">
        <v>305</v>
      </c>
      <c r="F15" s="21" t="s">
        <v>306</v>
      </c>
    </row>
    <row r="16" customFormat="false" ht="23.85" hidden="false" customHeight="false" outlineLevel="0" collapsed="false">
      <c r="A16" s="20" t="n">
        <v>7002</v>
      </c>
      <c r="B16" s="20" t="s">
        <v>302</v>
      </c>
      <c r="C16" s="20" t="s">
        <v>303</v>
      </c>
      <c r="D16" s="21" t="s">
        <v>307</v>
      </c>
      <c r="E16" s="20" t="s">
        <v>305</v>
      </c>
      <c r="F16" s="21" t="s">
        <v>306</v>
      </c>
    </row>
    <row r="17" customFormat="false" ht="23.85" hidden="false" customHeight="false" outlineLevel="0" collapsed="false">
      <c r="A17" s="20" t="n">
        <v>7003</v>
      </c>
      <c r="B17" s="20" t="s">
        <v>302</v>
      </c>
      <c r="C17" s="20" t="s">
        <v>303</v>
      </c>
      <c r="D17" s="21" t="s">
        <v>308</v>
      </c>
      <c r="E17" s="20" t="s">
        <v>305</v>
      </c>
      <c r="F17" s="21" t="s">
        <v>306</v>
      </c>
    </row>
    <row r="18" customFormat="false" ht="15" hidden="false" customHeight="false" outlineLevel="0" collapsed="false">
      <c r="A18" s="20" t="n">
        <v>60007</v>
      </c>
      <c r="B18" s="20" t="s">
        <v>302</v>
      </c>
      <c r="C18" s="20" t="s">
        <v>303</v>
      </c>
      <c r="D18" s="21" t="s">
        <v>309</v>
      </c>
      <c r="E18" s="20" t="s">
        <v>305</v>
      </c>
      <c r="F18" s="21" t="s">
        <v>306</v>
      </c>
    </row>
    <row r="19" customFormat="false" ht="15" hidden="false" customHeight="false" outlineLevel="0" collapsed="false">
      <c r="A19" s="20" t="n">
        <v>60008</v>
      </c>
      <c r="B19" s="20" t="s">
        <v>302</v>
      </c>
      <c r="C19" s="20" t="s">
        <v>303</v>
      </c>
      <c r="D19" s="21" t="s">
        <v>309</v>
      </c>
      <c r="E19" s="20" t="s">
        <v>305</v>
      </c>
      <c r="F19" s="21" t="s">
        <v>306</v>
      </c>
    </row>
    <row r="20" customFormat="false" ht="15" hidden="false" customHeight="false" outlineLevel="0" collapsed="false">
      <c r="A20" s="20" t="n">
        <v>60009</v>
      </c>
      <c r="B20" s="20" t="s">
        <v>302</v>
      </c>
      <c r="C20" s="20" t="s">
        <v>303</v>
      </c>
      <c r="D20" s="21" t="s">
        <v>309</v>
      </c>
      <c r="E20" s="20" t="s">
        <v>305</v>
      </c>
      <c r="F20" s="21" t="s">
        <v>306</v>
      </c>
    </row>
  </sheetData>
  <autoFilter ref="A1:F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60"/>
    <col collapsed="false" customWidth="true" hidden="false" outlineLevel="0" max="4" min="4" style="0" width="9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2" t="s">
        <v>39</v>
      </c>
      <c r="B1" s="12" t="s">
        <v>40</v>
      </c>
      <c r="C1" s="12" t="s">
        <v>310</v>
      </c>
      <c r="D1" s="12" t="s">
        <v>311</v>
      </c>
      <c r="E1" s="12" t="s">
        <v>42</v>
      </c>
    </row>
    <row r="2" customFormat="false" ht="15" hidden="false" customHeight="false" outlineLevel="0" collapsed="false">
      <c r="A2" s="16" t="s">
        <v>63</v>
      </c>
      <c r="B2" s="13" t="n">
        <v>3001</v>
      </c>
      <c r="C2" s="14" t="s">
        <v>312</v>
      </c>
      <c r="D2" s="13" t="n">
        <f aca="false">COUNTIFS('Domain Map'!$H$2:$H$107,A2,'Domain Map'!$I$2:$I$107,B2)</f>
        <v>1</v>
      </c>
      <c r="E2" s="14" t="s">
        <v>313</v>
      </c>
    </row>
    <row r="3" customFormat="false" ht="23.85" hidden="false" customHeight="false" outlineLevel="0" collapsed="false">
      <c r="A3" s="16" t="s">
        <v>63</v>
      </c>
      <c r="B3" s="13" t="n">
        <v>4100</v>
      </c>
      <c r="C3" s="14" t="s">
        <v>314</v>
      </c>
      <c r="D3" s="13" t="n">
        <f aca="false">COUNTIFS('Domain Map'!$H$2:$H$107,A3,'Domain Map'!$I$2:$I$107,B3)</f>
        <v>2</v>
      </c>
      <c r="E3" s="14" t="s">
        <v>313</v>
      </c>
    </row>
    <row r="4" customFormat="false" ht="15" hidden="false" customHeight="false" outlineLevel="0" collapsed="false">
      <c r="A4" s="16" t="s">
        <v>63</v>
      </c>
      <c r="B4" s="13" t="n">
        <v>6875</v>
      </c>
      <c r="C4" s="14" t="s">
        <v>76</v>
      </c>
      <c r="D4" s="13" t="n">
        <f aca="false">COUNTIFS('Domain Map'!$H$2:$H$107,A4,'Domain Map'!$I$2:$I$107,B4)</f>
        <v>1</v>
      </c>
      <c r="E4" s="14" t="s">
        <v>313</v>
      </c>
    </row>
    <row r="5" customFormat="false" ht="15" hidden="false" customHeight="false" outlineLevel="0" collapsed="false">
      <c r="A5" s="16" t="s">
        <v>63</v>
      </c>
      <c r="B5" s="13" t="n">
        <v>7000</v>
      </c>
      <c r="C5" s="14" t="s">
        <v>315</v>
      </c>
      <c r="D5" s="13" t="n">
        <f aca="false">COUNTIFS('Domain Map'!$H$2:$H$107,A5,'Domain Map'!$I$2:$I$107,B5)</f>
        <v>1</v>
      </c>
      <c r="E5" s="14" t="s">
        <v>313</v>
      </c>
    </row>
    <row r="6" customFormat="false" ht="15" hidden="false" customHeight="false" outlineLevel="0" collapsed="false">
      <c r="A6" s="16" t="s">
        <v>63</v>
      </c>
      <c r="B6" s="13" t="n">
        <v>8020</v>
      </c>
      <c r="C6" s="14" t="s">
        <v>316</v>
      </c>
      <c r="D6" s="13" t="n">
        <f aca="false">COUNTIFS('Domain Map'!$H$2:$H$107,A6,'Domain Map'!$I$2:$I$107,B6)</f>
        <v>1</v>
      </c>
      <c r="E6" s="14" t="s">
        <v>313</v>
      </c>
    </row>
    <row r="7" customFormat="false" ht="15" hidden="false" customHeight="false" outlineLevel="0" collapsed="false">
      <c r="A7" s="16" t="s">
        <v>63</v>
      </c>
      <c r="B7" s="13" t="n">
        <v>8078</v>
      </c>
      <c r="C7" s="14" t="s">
        <v>317</v>
      </c>
      <c r="D7" s="13" t="n">
        <f aca="false">COUNTIFS('Domain Map'!$H$2:$H$107,A7,'Domain Map'!$I$2:$I$107,B7)</f>
        <v>1</v>
      </c>
      <c r="E7" s="14" t="s">
        <v>313</v>
      </c>
    </row>
    <row r="8" customFormat="false" ht="15" hidden="false" customHeight="false" outlineLevel="0" collapsed="false">
      <c r="A8" s="16" t="s">
        <v>63</v>
      </c>
      <c r="B8" s="13" t="n">
        <v>8080</v>
      </c>
      <c r="C8" s="14" t="s">
        <v>318</v>
      </c>
      <c r="D8" s="13" t="n">
        <f aca="false">COUNTIFS('Domain Map'!$H$2:$H$107,A8,'Domain Map'!$I$2:$I$107,B8)</f>
        <v>1</v>
      </c>
      <c r="E8" s="14" t="s">
        <v>313</v>
      </c>
    </row>
    <row r="9" customFormat="false" ht="15" hidden="false" customHeight="false" outlineLevel="0" collapsed="false">
      <c r="A9" s="16" t="s">
        <v>63</v>
      </c>
      <c r="B9" s="13" t="n">
        <v>8088</v>
      </c>
      <c r="C9" s="14" t="s">
        <v>319</v>
      </c>
      <c r="D9" s="13" t="n">
        <f aca="false">COUNTIFS('Domain Map'!$H$2:$H$107,A9,'Domain Map'!$I$2:$I$107,B9)</f>
        <v>1</v>
      </c>
      <c r="E9" s="14" t="s">
        <v>313</v>
      </c>
    </row>
    <row r="10" customFormat="false" ht="15" hidden="false" customHeight="false" outlineLevel="0" collapsed="false">
      <c r="A10" s="16" t="s">
        <v>63</v>
      </c>
      <c r="B10" s="13" t="n">
        <v>8555</v>
      </c>
      <c r="C10" s="14" t="s">
        <v>87</v>
      </c>
      <c r="D10" s="13" t="n">
        <f aca="false">COUNTIFS('Domain Map'!$H$2:$H$107,A10,'Domain Map'!$I$2:$I$107,B10)</f>
        <v>1</v>
      </c>
      <c r="E10" s="14" t="s">
        <v>313</v>
      </c>
    </row>
    <row r="11" customFormat="false" ht="15" hidden="false" customHeight="false" outlineLevel="0" collapsed="false">
      <c r="A11" s="16" t="s">
        <v>63</v>
      </c>
      <c r="B11" s="13" t="n">
        <v>8556</v>
      </c>
      <c r="C11" s="14" t="s">
        <v>320</v>
      </c>
      <c r="D11" s="13" t="n">
        <f aca="false">COUNTIFS('Domain Map'!$H$2:$H$107,A11,'Domain Map'!$I$2:$I$107,B11)</f>
        <v>1</v>
      </c>
      <c r="E11" s="14" t="s">
        <v>313</v>
      </c>
    </row>
    <row r="12" customFormat="false" ht="23.85" hidden="false" customHeight="false" outlineLevel="0" collapsed="false">
      <c r="A12" s="16" t="s">
        <v>63</v>
      </c>
      <c r="B12" s="13" t="n">
        <v>9000</v>
      </c>
      <c r="C12" s="14" t="s">
        <v>321</v>
      </c>
      <c r="D12" s="13" t="n">
        <f aca="false">COUNTIFS('Domain Map'!$H$2:$H$107,A12,'Domain Map'!$I$2:$I$107,B12)</f>
        <v>2</v>
      </c>
      <c r="E12" s="14" t="s">
        <v>313</v>
      </c>
    </row>
    <row r="13" customFormat="false" ht="15" hidden="false" customHeight="false" outlineLevel="0" collapsed="false">
      <c r="A13" s="16" t="s">
        <v>63</v>
      </c>
      <c r="B13" s="13" t="n">
        <v>9001</v>
      </c>
      <c r="C13" s="14" t="s">
        <v>322</v>
      </c>
      <c r="D13" s="13" t="n">
        <f aca="false">COUNTIFS('Domain Map'!$H$2:$H$107,A13,'Domain Map'!$I$2:$I$107,B13)</f>
        <v>1</v>
      </c>
      <c r="E13" s="14" t="s">
        <v>313</v>
      </c>
    </row>
    <row r="14" customFormat="false" ht="15" hidden="false" customHeight="false" outlineLevel="0" collapsed="false">
      <c r="A14" s="16" t="s">
        <v>63</v>
      </c>
      <c r="B14" s="13" t="n">
        <v>9006</v>
      </c>
      <c r="C14" s="14" t="s">
        <v>184</v>
      </c>
      <c r="D14" s="13" t="n">
        <f aca="false">COUNTIFS('Domain Map'!$H$2:$H$107,A14,'Domain Map'!$I$2:$I$107,B14)</f>
        <v>1</v>
      </c>
      <c r="E14" s="14" t="s">
        <v>313</v>
      </c>
    </row>
    <row r="15" customFormat="false" ht="15" hidden="false" customHeight="false" outlineLevel="0" collapsed="false">
      <c r="A15" s="16" t="s">
        <v>63</v>
      </c>
      <c r="B15" s="13" t="n">
        <v>9020</v>
      </c>
      <c r="C15" s="14" t="s">
        <v>271</v>
      </c>
      <c r="D15" s="13" t="n">
        <f aca="false">COUNTIFS('Domain Map'!$H$2:$H$107,A15,'Domain Map'!$I$2:$I$107,B15)</f>
        <v>1</v>
      </c>
      <c r="E15" s="14" t="s">
        <v>313</v>
      </c>
    </row>
    <row r="16" customFormat="false" ht="23.85" hidden="false" customHeight="false" outlineLevel="0" collapsed="false">
      <c r="A16" s="16" t="s">
        <v>262</v>
      </c>
      <c r="B16" s="13" t="n">
        <v>8096</v>
      </c>
      <c r="C16" s="14" t="s">
        <v>323</v>
      </c>
      <c r="D16" s="13" t="n">
        <f aca="false">COUNTIFS('Domain Map'!$H$2:$H$107,A16,'Domain Map'!$I$2:$I$107,B16)</f>
        <v>2</v>
      </c>
      <c r="E16" s="14"/>
    </row>
    <row r="17" customFormat="false" ht="46.25" hidden="false" customHeight="false" outlineLevel="0" collapsed="false">
      <c r="A17" s="16" t="s">
        <v>47</v>
      </c>
      <c r="B17" s="13" t="n">
        <v>3010</v>
      </c>
      <c r="C17" s="14" t="s">
        <v>324</v>
      </c>
      <c r="D17" s="13" t="n">
        <f aca="false">COUNTIFS('Domain Map'!$H$2:$H$107,A17,'Domain Map'!$I$2:$I$107,B17)</f>
        <v>4</v>
      </c>
      <c r="E17" s="14" t="s">
        <v>325</v>
      </c>
    </row>
    <row r="18" customFormat="false" ht="23.85" hidden="false" customHeight="false" outlineLevel="0" collapsed="false">
      <c r="A18" s="16" t="s">
        <v>47</v>
      </c>
      <c r="B18" s="13" t="n">
        <v>5000</v>
      </c>
      <c r="C18" s="14" t="s">
        <v>326</v>
      </c>
      <c r="D18" s="13" t="n">
        <f aca="false">COUNTIFS('Domain Map'!$H$2:$H$107,A18,'Domain Map'!$I$2:$I$107,B18)</f>
        <v>2</v>
      </c>
      <c r="E18" s="14" t="s">
        <v>325</v>
      </c>
    </row>
    <row r="19" customFormat="false" ht="15" hidden="false" customHeight="false" outlineLevel="0" collapsed="false">
      <c r="A19" s="16" t="s">
        <v>47</v>
      </c>
      <c r="B19" s="13" t="n">
        <v>5050</v>
      </c>
      <c r="C19" s="14" t="s">
        <v>327</v>
      </c>
      <c r="D19" s="13" t="n">
        <f aca="false">COUNTIFS('Domain Map'!$H$2:$H$107,A19,'Domain Map'!$I$2:$I$107,B19)</f>
        <v>1</v>
      </c>
      <c r="E19" s="14" t="s">
        <v>325</v>
      </c>
    </row>
    <row r="20" customFormat="false" ht="15" hidden="false" customHeight="false" outlineLevel="0" collapsed="false">
      <c r="A20" s="16" t="s">
        <v>47</v>
      </c>
      <c r="B20" s="13" t="n">
        <v>8082</v>
      </c>
      <c r="C20" s="14" t="s">
        <v>83</v>
      </c>
      <c r="D20" s="13" t="n">
        <f aca="false">COUNTIFS('Domain Map'!$H$2:$H$107,A20,'Domain Map'!$I$2:$I$107,B20)</f>
        <v>1</v>
      </c>
      <c r="E20" s="14" t="s">
        <v>325</v>
      </c>
    </row>
    <row r="21" customFormat="false" ht="15" hidden="false" customHeight="false" outlineLevel="0" collapsed="false">
      <c r="A21" s="16" t="s">
        <v>47</v>
      </c>
      <c r="B21" s="13" t="n">
        <v>8090</v>
      </c>
      <c r="C21" s="14" t="s">
        <v>43</v>
      </c>
      <c r="D21" s="13" t="n">
        <f aca="false">COUNTIFS('Domain Map'!$H$2:$H$107,A21,'Domain Map'!$I$2:$I$107,B21)</f>
        <v>1</v>
      </c>
      <c r="E21" s="14" t="s">
        <v>325</v>
      </c>
    </row>
    <row r="22" customFormat="false" ht="23.85" hidden="false" customHeight="false" outlineLevel="0" collapsed="false">
      <c r="A22" s="16" t="s">
        <v>47</v>
      </c>
      <c r="B22" s="13" t="n">
        <v>8333</v>
      </c>
      <c r="C22" s="14" t="s">
        <v>328</v>
      </c>
      <c r="D22" s="13" t="n">
        <f aca="false">COUNTIFS('Domain Map'!$H$2:$H$107,A22,'Domain Map'!$I$2:$I$107,B22)</f>
        <v>2</v>
      </c>
      <c r="E22" s="14" t="s">
        <v>325</v>
      </c>
    </row>
    <row r="23" customFormat="false" ht="15" hidden="false" customHeight="false" outlineLevel="0" collapsed="false">
      <c r="A23" s="16" t="s">
        <v>47</v>
      </c>
      <c r="B23" s="13" t="n">
        <v>8989</v>
      </c>
      <c r="C23" s="14" t="s">
        <v>257</v>
      </c>
      <c r="D23" s="13" t="n">
        <f aca="false">COUNTIFS('Domain Map'!$H$2:$H$107,A23,'Domain Map'!$I$2:$I$107,B23)</f>
        <v>1</v>
      </c>
      <c r="E23" s="14" t="s">
        <v>325</v>
      </c>
    </row>
    <row r="24" customFormat="false" ht="15" hidden="false" customHeight="false" outlineLevel="0" collapsed="false">
      <c r="A24" s="16" t="s">
        <v>47</v>
      </c>
      <c r="B24" s="13" t="n">
        <v>9011</v>
      </c>
      <c r="C24" s="14" t="s">
        <v>196</v>
      </c>
      <c r="D24" s="13" t="n">
        <f aca="false">COUNTIFS('Domain Map'!$H$2:$H$107,A24,'Domain Map'!$I$2:$I$107,B24)</f>
        <v>1</v>
      </c>
      <c r="E24" s="14" t="s">
        <v>325</v>
      </c>
    </row>
    <row r="25" customFormat="false" ht="15" hidden="false" customHeight="false" outlineLevel="0" collapsed="false">
      <c r="A25" s="16" t="s">
        <v>160</v>
      </c>
      <c r="B25" s="13" t="n">
        <v>3100</v>
      </c>
      <c r="C25" s="14" t="s">
        <v>329</v>
      </c>
      <c r="D25" s="13" t="n">
        <f aca="false">COUNTIFS('Domain Map'!$H$2:$H$107,A25,'Domain Map'!$I$2:$I$107,B25)</f>
        <v>1</v>
      </c>
      <c r="E25" s="14" t="s">
        <v>330</v>
      </c>
    </row>
    <row r="26" customFormat="false" ht="15" hidden="false" customHeight="false" outlineLevel="0" collapsed="false">
      <c r="A26" s="16" t="s">
        <v>160</v>
      </c>
      <c r="B26" s="13" t="n">
        <v>8080</v>
      </c>
      <c r="C26" s="14" t="s">
        <v>169</v>
      </c>
      <c r="D26" s="13" t="n">
        <f aca="false">COUNTIFS('Domain Map'!$H$2:$H$107,A26,'Domain Map'!$I$2:$I$107,B26)</f>
        <v>1</v>
      </c>
      <c r="E26" s="14" t="s">
        <v>330</v>
      </c>
    </row>
    <row r="27" customFormat="false" ht="15" hidden="false" customHeight="false" outlineLevel="0" collapsed="false">
      <c r="A27" s="16" t="s">
        <v>160</v>
      </c>
      <c r="B27" s="13" t="n">
        <v>8096</v>
      </c>
      <c r="C27" s="14" t="s">
        <v>180</v>
      </c>
      <c r="D27" s="13" t="n">
        <f aca="false">COUNTIFS('Domain Map'!$H$2:$H$107,A27,'Domain Map'!$I$2:$I$107,B27)</f>
        <v>1</v>
      </c>
      <c r="E27" s="14" t="s">
        <v>330</v>
      </c>
    </row>
    <row r="28" customFormat="false" ht="35.05" hidden="false" customHeight="false" outlineLevel="0" collapsed="false">
      <c r="A28" s="16" t="s">
        <v>160</v>
      </c>
      <c r="B28" s="13" t="n">
        <v>8786</v>
      </c>
      <c r="C28" s="14" t="s">
        <v>331</v>
      </c>
      <c r="D28" s="13" t="n">
        <f aca="false">COUNTIFS('Domain Map'!$H$2:$H$107,A28,'Domain Map'!$I$2:$I$107,B28)</f>
        <v>3</v>
      </c>
      <c r="E28" s="14" t="s">
        <v>330</v>
      </c>
    </row>
    <row r="29" customFormat="false" ht="15" hidden="false" customHeight="false" outlineLevel="0" collapsed="false">
      <c r="A29" s="16" t="s">
        <v>107</v>
      </c>
      <c r="B29" s="13" t="n">
        <v>3011</v>
      </c>
      <c r="C29" s="14" t="s">
        <v>249</v>
      </c>
      <c r="D29" s="13" t="n">
        <f aca="false">COUNTIFS('Domain Map'!$H$2:$H$107,A29,'Domain Map'!$I$2:$I$107,B29)</f>
        <v>1</v>
      </c>
      <c r="E29" s="14" t="s">
        <v>332</v>
      </c>
    </row>
    <row r="30" customFormat="false" ht="15" hidden="false" customHeight="false" outlineLevel="0" collapsed="false">
      <c r="A30" s="16" t="s">
        <v>107</v>
      </c>
      <c r="B30" s="13" t="n">
        <v>4001</v>
      </c>
      <c r="C30" s="14" t="s">
        <v>189</v>
      </c>
      <c r="D30" s="13" t="n">
        <f aca="false">COUNTIFS('Domain Map'!$H$2:$H$107,A30,'Domain Map'!$I$2:$I$107,B30)</f>
        <v>1</v>
      </c>
      <c r="E30" s="14" t="s">
        <v>332</v>
      </c>
    </row>
    <row r="31" customFormat="false" ht="35.05" hidden="false" customHeight="false" outlineLevel="0" collapsed="false">
      <c r="A31" s="16" t="s">
        <v>107</v>
      </c>
      <c r="B31" s="13" t="n">
        <v>8180</v>
      </c>
      <c r="C31" s="14" t="s">
        <v>333</v>
      </c>
      <c r="D31" s="13" t="n">
        <f aca="false">COUNTIFS('Domain Map'!$H$2:$H$107,A31,'Domain Map'!$I$2:$I$107,B31)</f>
        <v>3</v>
      </c>
      <c r="E31" s="14" t="s">
        <v>332</v>
      </c>
    </row>
    <row r="32" customFormat="false" ht="15" hidden="false" customHeight="false" outlineLevel="0" collapsed="false">
      <c r="A32" s="16" t="s">
        <v>97</v>
      </c>
      <c r="B32" s="13" t="n">
        <v>82</v>
      </c>
      <c r="C32" s="14" t="s">
        <v>95</v>
      </c>
      <c r="D32" s="13" t="n">
        <f aca="false">COUNTIFS('Domain Map'!$H$2:$H$107,A32,'Domain Map'!$I$2:$I$107,B32)</f>
        <v>1</v>
      </c>
      <c r="E32" s="14" t="s">
        <v>334</v>
      </c>
    </row>
    <row r="33" customFormat="false" ht="15" hidden="false" customHeight="false" outlineLevel="0" collapsed="false">
      <c r="A33" s="16" t="s">
        <v>97</v>
      </c>
      <c r="B33" s="13" t="n">
        <v>8080</v>
      </c>
      <c r="C33" s="14" t="s">
        <v>113</v>
      </c>
      <c r="D33" s="13" t="n">
        <f aca="false">COUNTIFS('Domain Map'!$H$2:$H$107,A33,'Domain Map'!$I$2:$I$107,B33)</f>
        <v>1</v>
      </c>
      <c r="E33" s="14" t="s">
        <v>334</v>
      </c>
    </row>
    <row r="34" customFormat="false" ht="15" hidden="false" customHeight="false" outlineLevel="0" collapsed="false">
      <c r="A34" s="16" t="s">
        <v>97</v>
      </c>
      <c r="B34" s="13" t="n">
        <v>8082</v>
      </c>
      <c r="C34" s="14" t="s">
        <v>193</v>
      </c>
      <c r="D34" s="13" t="n">
        <f aca="false">COUNTIFS('Domain Map'!$H$2:$H$107,A34,'Domain Map'!$I$2:$I$107,B34)</f>
        <v>1</v>
      </c>
      <c r="E34" s="14" t="s">
        <v>334</v>
      </c>
    </row>
    <row r="35" customFormat="false" ht="35.05" hidden="false" customHeight="false" outlineLevel="0" collapsed="false">
      <c r="A35" s="16" t="s">
        <v>97</v>
      </c>
      <c r="B35" s="13" t="n">
        <v>8787</v>
      </c>
      <c r="C35" s="14" t="s">
        <v>335</v>
      </c>
      <c r="D35" s="13" t="n">
        <f aca="false">COUNTIFS('Domain Map'!$H$2:$H$107,A35,'Domain Map'!$I$2:$I$107,B35)</f>
        <v>3</v>
      </c>
      <c r="E35" s="14" t="s">
        <v>334</v>
      </c>
    </row>
  </sheetData>
  <autoFilter ref="A1:E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100"/>
  </cols>
  <sheetData>
    <row r="1" customFormat="false" ht="30" hidden="false" customHeight="true" outlineLevel="0" collapsed="false">
      <c r="A1" s="12" t="s">
        <v>336</v>
      </c>
      <c r="B1" s="12" t="s">
        <v>29</v>
      </c>
      <c r="C1" s="12" t="s">
        <v>337</v>
      </c>
    </row>
    <row r="2" customFormat="false" ht="15" hidden="false" customHeight="false" outlineLevel="0" collapsed="false">
      <c r="A2" s="16" t="s">
        <v>48</v>
      </c>
      <c r="B2" s="16" t="s">
        <v>338</v>
      </c>
      <c r="C2" s="14" t="s">
        <v>43</v>
      </c>
    </row>
    <row r="3" customFormat="false" ht="15" hidden="false" customHeight="false" outlineLevel="0" collapsed="false">
      <c r="A3" s="16" t="s">
        <v>53</v>
      </c>
      <c r="B3" s="16" t="s">
        <v>338</v>
      </c>
      <c r="C3" s="14" t="s">
        <v>51</v>
      </c>
    </row>
    <row r="4" customFormat="false" ht="15" hidden="false" customHeight="false" outlineLevel="0" collapsed="false">
      <c r="A4" s="16" t="s">
        <v>58</v>
      </c>
      <c r="B4" s="16" t="s">
        <v>338</v>
      </c>
      <c r="C4" s="14" t="s">
        <v>56</v>
      </c>
    </row>
    <row r="5" customFormat="false" ht="15" hidden="false" customHeight="false" outlineLevel="0" collapsed="false">
      <c r="A5" s="16" t="s">
        <v>64</v>
      </c>
      <c r="B5" s="16" t="s">
        <v>338</v>
      </c>
      <c r="C5" s="14" t="s">
        <v>60</v>
      </c>
    </row>
    <row r="6" customFormat="false" ht="15" hidden="false" customHeight="false" outlineLevel="0" collapsed="false">
      <c r="A6" s="16" t="s">
        <v>79</v>
      </c>
      <c r="B6" s="16" t="s">
        <v>338</v>
      </c>
      <c r="C6" s="14" t="s">
        <v>76</v>
      </c>
    </row>
    <row r="7" customFormat="false" ht="15" hidden="false" customHeight="false" outlineLevel="0" collapsed="false">
      <c r="A7" s="16" t="s">
        <v>85</v>
      </c>
      <c r="B7" s="16" t="s">
        <v>338</v>
      </c>
      <c r="C7" s="14" t="s">
        <v>83</v>
      </c>
    </row>
    <row r="8" customFormat="false" ht="15" hidden="false" customHeight="false" outlineLevel="0" collapsed="false">
      <c r="A8" s="16" t="s">
        <v>89</v>
      </c>
      <c r="B8" s="16" t="s">
        <v>338</v>
      </c>
      <c r="C8" s="14" t="s">
        <v>87</v>
      </c>
    </row>
    <row r="9" customFormat="false" ht="15" hidden="false" customHeight="false" outlineLevel="0" collapsed="false">
      <c r="A9" s="16" t="s">
        <v>98</v>
      </c>
      <c r="B9" s="16" t="s">
        <v>338</v>
      </c>
      <c r="C9" s="14" t="s">
        <v>95</v>
      </c>
    </row>
    <row r="10" customFormat="false" ht="15" hidden="false" customHeight="false" outlineLevel="0" collapsed="false">
      <c r="A10" s="16" t="s">
        <v>105</v>
      </c>
      <c r="B10" s="16" t="s">
        <v>338</v>
      </c>
      <c r="C10" s="14" t="s">
        <v>103</v>
      </c>
    </row>
    <row r="11" customFormat="false" ht="15" hidden="false" customHeight="false" outlineLevel="0" collapsed="false">
      <c r="A11" s="16" t="s">
        <v>115</v>
      </c>
      <c r="B11" s="16" t="s">
        <v>338</v>
      </c>
      <c r="C11" s="14" t="s">
        <v>113</v>
      </c>
    </row>
    <row r="12" customFormat="false" ht="15" hidden="false" customHeight="false" outlineLevel="0" collapsed="false">
      <c r="A12" s="16" t="s">
        <v>120</v>
      </c>
      <c r="B12" s="16" t="s">
        <v>338</v>
      </c>
      <c r="C12" s="14" t="s">
        <v>117</v>
      </c>
    </row>
    <row r="13" customFormat="false" ht="15" hidden="false" customHeight="false" outlineLevel="0" collapsed="false">
      <c r="A13" s="16" t="s">
        <v>124</v>
      </c>
      <c r="B13" s="16" t="s">
        <v>338</v>
      </c>
      <c r="C13" s="14" t="s">
        <v>122</v>
      </c>
    </row>
    <row r="14" customFormat="false" ht="15" hidden="false" customHeight="false" outlineLevel="0" collapsed="false">
      <c r="A14" s="16" t="s">
        <v>136</v>
      </c>
      <c r="B14" s="16" t="s">
        <v>338</v>
      </c>
      <c r="C14" s="14" t="s">
        <v>134</v>
      </c>
    </row>
    <row r="15" customFormat="false" ht="15" hidden="false" customHeight="false" outlineLevel="0" collapsed="false">
      <c r="A15" s="16" t="s">
        <v>138</v>
      </c>
      <c r="B15" s="16" t="s">
        <v>338</v>
      </c>
      <c r="C15" s="14" t="s">
        <v>137</v>
      </c>
    </row>
    <row r="16" customFormat="false" ht="15" hidden="false" customHeight="false" outlineLevel="0" collapsed="false">
      <c r="A16" s="16" t="s">
        <v>154</v>
      </c>
      <c r="B16" s="16" t="s">
        <v>338</v>
      </c>
      <c r="C16" s="14" t="s">
        <v>339</v>
      </c>
    </row>
    <row r="17" customFormat="false" ht="15" hidden="false" customHeight="false" outlineLevel="0" collapsed="false">
      <c r="A17" s="16" t="s">
        <v>161</v>
      </c>
      <c r="B17" s="16" t="s">
        <v>338</v>
      </c>
      <c r="C17" s="14" t="s">
        <v>340</v>
      </c>
    </row>
    <row r="18" customFormat="false" ht="15" hidden="false" customHeight="false" outlineLevel="0" collapsed="false">
      <c r="A18" s="16" t="s">
        <v>171</v>
      </c>
      <c r="B18" s="16" t="s">
        <v>338</v>
      </c>
      <c r="C18" s="14" t="s">
        <v>169</v>
      </c>
    </row>
    <row r="19" customFormat="false" ht="15" hidden="false" customHeight="false" outlineLevel="0" collapsed="false">
      <c r="A19" s="16" t="s">
        <v>177</v>
      </c>
      <c r="B19" s="16" t="s">
        <v>338</v>
      </c>
      <c r="C19" s="14" t="s">
        <v>175</v>
      </c>
    </row>
    <row r="20" customFormat="false" ht="15" hidden="false" customHeight="false" outlineLevel="0" collapsed="false">
      <c r="A20" s="16" t="s">
        <v>182</v>
      </c>
      <c r="B20" s="16" t="s">
        <v>338</v>
      </c>
      <c r="C20" s="14" t="s">
        <v>180</v>
      </c>
    </row>
    <row r="21" customFormat="false" ht="15" hidden="false" customHeight="false" outlineLevel="0" collapsed="false">
      <c r="A21" s="16" t="s">
        <v>186</v>
      </c>
      <c r="B21" s="16" t="s">
        <v>338</v>
      </c>
      <c r="C21" s="14" t="s">
        <v>184</v>
      </c>
    </row>
    <row r="22" customFormat="false" ht="15" hidden="false" customHeight="false" outlineLevel="0" collapsed="false">
      <c r="A22" s="16" t="s">
        <v>191</v>
      </c>
      <c r="B22" s="16" t="s">
        <v>338</v>
      </c>
      <c r="C22" s="14" t="s">
        <v>189</v>
      </c>
    </row>
    <row r="23" customFormat="false" ht="15" hidden="false" customHeight="false" outlineLevel="0" collapsed="false">
      <c r="A23" s="16" t="s">
        <v>195</v>
      </c>
      <c r="B23" s="16" t="s">
        <v>338</v>
      </c>
      <c r="C23" s="14" t="s">
        <v>193</v>
      </c>
    </row>
    <row r="24" customFormat="false" ht="15" hidden="false" customHeight="false" outlineLevel="0" collapsed="false">
      <c r="A24" s="16" t="s">
        <v>198</v>
      </c>
      <c r="B24" s="16" t="s">
        <v>338</v>
      </c>
      <c r="C24" s="14" t="s">
        <v>196</v>
      </c>
    </row>
    <row r="25" customFormat="false" ht="15" hidden="false" customHeight="false" outlineLevel="0" collapsed="false">
      <c r="A25" s="16" t="s">
        <v>203</v>
      </c>
      <c r="B25" s="16" t="s">
        <v>338</v>
      </c>
      <c r="C25" s="14" t="s">
        <v>200</v>
      </c>
    </row>
    <row r="26" customFormat="false" ht="15" hidden="false" customHeight="false" outlineLevel="0" collapsed="false">
      <c r="A26" s="16" t="s">
        <v>218</v>
      </c>
      <c r="B26" s="16" t="s">
        <v>338</v>
      </c>
      <c r="C26" s="14" t="s">
        <v>216</v>
      </c>
    </row>
    <row r="27" customFormat="false" ht="15" hidden="false" customHeight="false" outlineLevel="0" collapsed="false">
      <c r="A27" s="16" t="s">
        <v>232</v>
      </c>
      <c r="B27" s="16" t="s">
        <v>338</v>
      </c>
      <c r="C27" s="14" t="s">
        <v>230</v>
      </c>
    </row>
    <row r="28" customFormat="false" ht="15" hidden="false" customHeight="false" outlineLevel="0" collapsed="false">
      <c r="A28" s="16" t="s">
        <v>242</v>
      </c>
      <c r="B28" s="16" t="s">
        <v>338</v>
      </c>
      <c r="C28" s="14" t="s">
        <v>341</v>
      </c>
    </row>
    <row r="29" customFormat="false" ht="15" hidden="false" customHeight="false" outlineLevel="0" collapsed="false">
      <c r="A29" s="16" t="s">
        <v>251</v>
      </c>
      <c r="B29" s="16" t="s">
        <v>338</v>
      </c>
      <c r="C29" s="14" t="s">
        <v>249</v>
      </c>
    </row>
    <row r="30" customFormat="false" ht="15" hidden="false" customHeight="false" outlineLevel="0" collapsed="false">
      <c r="A30" s="16" t="s">
        <v>255</v>
      </c>
      <c r="B30" s="16" t="s">
        <v>338</v>
      </c>
      <c r="C30" s="14" t="s">
        <v>63</v>
      </c>
    </row>
    <row r="31" customFormat="false" ht="15" hidden="false" customHeight="false" outlineLevel="0" collapsed="false">
      <c r="A31" s="16" t="s">
        <v>258</v>
      </c>
      <c r="B31" s="16" t="s">
        <v>338</v>
      </c>
      <c r="C31" s="14" t="s">
        <v>257</v>
      </c>
    </row>
    <row r="32" customFormat="false" ht="15" hidden="false" customHeight="false" outlineLevel="0" collapsed="false">
      <c r="A32" s="16" t="s">
        <v>263</v>
      </c>
      <c r="B32" s="16" t="s">
        <v>338</v>
      </c>
      <c r="C32" s="14" t="s">
        <v>260</v>
      </c>
    </row>
    <row r="33" customFormat="false" ht="15" hidden="false" customHeight="false" outlineLevel="0" collapsed="false">
      <c r="A33" s="16" t="s">
        <v>268</v>
      </c>
      <c r="B33" s="16" t="s">
        <v>338</v>
      </c>
      <c r="C33" s="14" t="s">
        <v>267</v>
      </c>
    </row>
    <row r="34" customFormat="false" ht="15" hidden="false" customHeight="false" outlineLevel="0" collapsed="false">
      <c r="A34" s="16" t="s">
        <v>273</v>
      </c>
      <c r="B34" s="16" t="s">
        <v>338</v>
      </c>
      <c r="C34" s="14" t="s">
        <v>271</v>
      </c>
    </row>
    <row r="35" customFormat="false" ht="15" hidden="false" customHeight="false" outlineLevel="0" collapsed="false">
      <c r="A35" s="16" t="s">
        <v>276</v>
      </c>
      <c r="B35" s="16" t="s">
        <v>338</v>
      </c>
      <c r="C35" s="14" t="s">
        <v>342</v>
      </c>
    </row>
    <row r="36" customFormat="false" ht="15" hidden="false" customHeight="false" outlineLevel="0" collapsed="false">
      <c r="A36" s="16" t="s">
        <v>343</v>
      </c>
      <c r="B36" s="16" t="s">
        <v>338</v>
      </c>
      <c r="C36" s="14" t="s">
        <v>344</v>
      </c>
    </row>
    <row r="37" customFormat="false" ht="15" hidden="false" customHeight="false" outlineLevel="0" collapsed="false">
      <c r="A37" s="16" t="s">
        <v>345</v>
      </c>
      <c r="B37" s="16" t="s">
        <v>338</v>
      </c>
      <c r="C37" s="14" t="s">
        <v>346</v>
      </c>
    </row>
    <row r="38" customFormat="false" ht="15" hidden="false" customHeight="false" outlineLevel="0" collapsed="false">
      <c r="A38" s="16" t="s">
        <v>347</v>
      </c>
      <c r="B38" s="16" t="s">
        <v>338</v>
      </c>
      <c r="C38" s="14" t="s">
        <v>348</v>
      </c>
    </row>
    <row r="39" customFormat="false" ht="15" hidden="false" customHeight="false" outlineLevel="0" collapsed="false">
      <c r="A39" s="16" t="s">
        <v>349</v>
      </c>
      <c r="B39" s="16" t="s">
        <v>338</v>
      </c>
      <c r="C39" s="14" t="s">
        <v>350</v>
      </c>
    </row>
    <row r="40" customFormat="false" ht="15" hidden="false" customHeight="false" outlineLevel="0" collapsed="false">
      <c r="A40" s="22" t="s">
        <v>351</v>
      </c>
      <c r="B40" s="22" t="s">
        <v>352</v>
      </c>
      <c r="C40" s="23" t="s">
        <v>353</v>
      </c>
    </row>
    <row r="41" customFormat="false" ht="15" hidden="false" customHeight="false" outlineLevel="0" collapsed="false">
      <c r="A41" s="22" t="s">
        <v>354</v>
      </c>
      <c r="B41" s="22" t="s">
        <v>352</v>
      </c>
      <c r="C41" s="23" t="s">
        <v>353</v>
      </c>
    </row>
    <row r="42" customFormat="false" ht="15" hidden="false" customHeight="false" outlineLevel="0" collapsed="false">
      <c r="A42" s="22" t="s">
        <v>355</v>
      </c>
      <c r="B42" s="22" t="s">
        <v>352</v>
      </c>
      <c r="C42" s="23" t="s">
        <v>353</v>
      </c>
    </row>
    <row r="43" customFormat="false" ht="15" hidden="false" customHeight="false" outlineLevel="0" collapsed="false">
      <c r="A43" s="22" t="s">
        <v>356</v>
      </c>
      <c r="B43" s="22" t="s">
        <v>352</v>
      </c>
      <c r="C43" s="23" t="s">
        <v>353</v>
      </c>
    </row>
    <row r="44" customFormat="false" ht="15" hidden="false" customHeight="false" outlineLevel="0" collapsed="false">
      <c r="A44" s="22" t="s">
        <v>357</v>
      </c>
      <c r="B44" s="22" t="s">
        <v>352</v>
      </c>
      <c r="C44" s="23" t="s">
        <v>353</v>
      </c>
    </row>
    <row r="45" customFormat="false" ht="15" hidden="false" customHeight="false" outlineLevel="0" collapsed="false">
      <c r="A45" s="22" t="s">
        <v>358</v>
      </c>
      <c r="B45" s="22" t="s">
        <v>352</v>
      </c>
      <c r="C45" s="23" t="s">
        <v>353</v>
      </c>
    </row>
    <row r="46" customFormat="false" ht="15" hidden="false" customHeight="false" outlineLevel="0" collapsed="false">
      <c r="A46" s="22" t="s">
        <v>359</v>
      </c>
      <c r="B46" s="22" t="s">
        <v>352</v>
      </c>
      <c r="C46" s="23" t="s">
        <v>353</v>
      </c>
    </row>
    <row r="47" customFormat="false" ht="15" hidden="false" customHeight="false" outlineLevel="0" collapsed="false">
      <c r="A47" s="22" t="s">
        <v>360</v>
      </c>
      <c r="B47" s="22" t="s">
        <v>352</v>
      </c>
      <c r="C47" s="23" t="s">
        <v>353</v>
      </c>
    </row>
    <row r="48" customFormat="false" ht="15" hidden="false" customHeight="false" outlineLevel="0" collapsed="false">
      <c r="A48" s="22" t="s">
        <v>361</v>
      </c>
      <c r="B48" s="22" t="s">
        <v>352</v>
      </c>
      <c r="C48" s="23" t="s">
        <v>353</v>
      </c>
    </row>
    <row r="49" customFormat="false" ht="15" hidden="false" customHeight="false" outlineLevel="0" collapsed="false">
      <c r="A49" s="22" t="s">
        <v>362</v>
      </c>
      <c r="B49" s="22" t="s">
        <v>352</v>
      </c>
      <c r="C49" s="23" t="s">
        <v>353</v>
      </c>
    </row>
  </sheetData>
  <autoFilter ref="A1:C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5" min="4" style="0" width="70"/>
  </cols>
  <sheetData>
    <row r="1" customFormat="false" ht="30" hidden="false" customHeight="true" outlineLevel="0" collapsed="false">
      <c r="A1" s="12" t="s">
        <v>32</v>
      </c>
      <c r="B1" s="12" t="s">
        <v>363</v>
      </c>
      <c r="C1" s="12" t="s">
        <v>364</v>
      </c>
      <c r="D1" s="12" t="s">
        <v>365</v>
      </c>
      <c r="E1" s="12" t="s">
        <v>366</v>
      </c>
    </row>
    <row r="2" customFormat="false" ht="23.85" hidden="false" customHeight="false" outlineLevel="0" collapsed="false">
      <c r="A2" s="13" t="n">
        <v>1</v>
      </c>
      <c r="B2" s="24" t="s">
        <v>367</v>
      </c>
      <c r="C2" s="14" t="s">
        <v>368</v>
      </c>
      <c r="D2" s="14" t="s">
        <v>369</v>
      </c>
      <c r="E2" s="14" t="s">
        <v>370</v>
      </c>
    </row>
    <row r="3" customFormat="false" ht="23.85" hidden="false" customHeight="false" outlineLevel="0" collapsed="false">
      <c r="A3" s="13" t="n">
        <v>2</v>
      </c>
      <c r="B3" s="24" t="s">
        <v>367</v>
      </c>
      <c r="C3" s="14" t="s">
        <v>371</v>
      </c>
      <c r="D3" s="14" t="s">
        <v>372</v>
      </c>
      <c r="E3" s="14" t="s">
        <v>373</v>
      </c>
    </row>
    <row r="4" customFormat="false" ht="23.85" hidden="false" customHeight="false" outlineLevel="0" collapsed="false">
      <c r="A4" s="13" t="n">
        <v>3</v>
      </c>
      <c r="B4" s="24" t="s">
        <v>367</v>
      </c>
      <c r="C4" s="14" t="s">
        <v>374</v>
      </c>
      <c r="D4" s="14" t="s">
        <v>375</v>
      </c>
      <c r="E4" s="14" t="s">
        <v>376</v>
      </c>
    </row>
    <row r="5" customFormat="false" ht="23.85" hidden="false" customHeight="false" outlineLevel="0" collapsed="false">
      <c r="A5" s="13" t="n">
        <v>4</v>
      </c>
      <c r="B5" s="25" t="s">
        <v>377</v>
      </c>
      <c r="C5" s="14" t="s">
        <v>378</v>
      </c>
      <c r="D5" s="14" t="s">
        <v>379</v>
      </c>
      <c r="E5" s="14" t="s">
        <v>380</v>
      </c>
    </row>
    <row r="6" customFormat="false" ht="23.85" hidden="false" customHeight="false" outlineLevel="0" collapsed="false">
      <c r="A6" s="13" t="n">
        <v>5</v>
      </c>
      <c r="B6" s="25" t="s">
        <v>377</v>
      </c>
      <c r="C6" s="14" t="s">
        <v>381</v>
      </c>
      <c r="D6" s="14" t="s">
        <v>382</v>
      </c>
      <c r="E6" s="14" t="s">
        <v>383</v>
      </c>
    </row>
    <row r="7" customFormat="false" ht="23.85" hidden="false" customHeight="false" outlineLevel="0" collapsed="false">
      <c r="A7" s="13" t="n">
        <v>6</v>
      </c>
      <c r="B7" s="25" t="s">
        <v>377</v>
      </c>
      <c r="C7" s="14" t="s">
        <v>384</v>
      </c>
      <c r="D7" s="14" t="s">
        <v>385</v>
      </c>
      <c r="E7" s="14" t="s">
        <v>386</v>
      </c>
    </row>
    <row r="8" customFormat="false" ht="15" hidden="false" customHeight="false" outlineLevel="0" collapsed="false">
      <c r="A8" s="13" t="n">
        <v>7</v>
      </c>
      <c r="B8" s="25" t="s">
        <v>377</v>
      </c>
      <c r="C8" s="14" t="s">
        <v>387</v>
      </c>
      <c r="D8" s="14" t="s">
        <v>388</v>
      </c>
      <c r="E8" s="14" t="s">
        <v>389</v>
      </c>
    </row>
    <row r="9" customFormat="false" ht="23.85" hidden="false" customHeight="false" outlineLevel="0" collapsed="false">
      <c r="A9" s="13" t="n">
        <v>8</v>
      </c>
      <c r="B9" s="26" t="s">
        <v>390</v>
      </c>
      <c r="C9" s="14" t="s">
        <v>391</v>
      </c>
      <c r="D9" s="14" t="s">
        <v>392</v>
      </c>
      <c r="E9" s="14" t="s">
        <v>393</v>
      </c>
    </row>
    <row r="10" customFormat="false" ht="23.85" hidden="false" customHeight="false" outlineLevel="0" collapsed="false">
      <c r="A10" s="13" t="n">
        <v>9</v>
      </c>
      <c r="B10" s="26" t="s">
        <v>390</v>
      </c>
      <c r="C10" s="14" t="s">
        <v>394</v>
      </c>
      <c r="D10" s="14" t="s">
        <v>395</v>
      </c>
      <c r="E10" s="14" t="s">
        <v>396</v>
      </c>
    </row>
    <row r="11" customFormat="false" ht="15" hidden="false" customHeight="false" outlineLevel="0" collapsed="false">
      <c r="A11" s="13" t="n">
        <v>10</v>
      </c>
      <c r="B11" s="26" t="s">
        <v>390</v>
      </c>
      <c r="C11" s="14" t="s">
        <v>397</v>
      </c>
      <c r="D11" s="14" t="s">
        <v>398</v>
      </c>
      <c r="E11" s="14" t="s">
        <v>399</v>
      </c>
    </row>
    <row r="12" customFormat="false" ht="15" hidden="false" customHeight="false" outlineLevel="0" collapsed="false">
      <c r="A12" s="13" t="n">
        <v>11</v>
      </c>
      <c r="B12" s="26" t="s">
        <v>390</v>
      </c>
      <c r="C12" s="14" t="s">
        <v>400</v>
      </c>
      <c r="D12" s="14" t="s">
        <v>401</v>
      </c>
      <c r="E12" s="14" t="s">
        <v>402</v>
      </c>
    </row>
    <row r="13" customFormat="false" ht="15" hidden="false" customHeight="false" outlineLevel="0" collapsed="false">
      <c r="A13" s="13" t="n">
        <v>12</v>
      </c>
      <c r="B13" s="27" t="s">
        <v>403</v>
      </c>
      <c r="C13" s="14" t="s">
        <v>404</v>
      </c>
      <c r="D13" s="14" t="s">
        <v>405</v>
      </c>
      <c r="E13" s="14" t="s">
        <v>406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2026-10-01T11:43:03Z</dcterms:created>
  <dc:creator>openpyxl</dc:creator>
  <dc:description/>
  <dc:language>en-US</dc:language>
  <cp:lastModifiedBy/>
  <dcterms:modified xsi:type="dcterms:W3CDTF">2026-10-01T11:43:03Z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